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ril\Desktop\"/>
    </mc:Choice>
  </mc:AlternateContent>
  <xr:revisionPtr revIDLastSave="0" documentId="13_ncr:1_{50C452A8-1ED8-40CC-B3CC-214C7073639A}" xr6:coauthVersionLast="47" xr6:coauthVersionMax="47" xr10:uidLastSave="{00000000-0000-0000-0000-000000000000}"/>
  <bookViews>
    <workbookView xWindow="510" yWindow="3300" windowWidth="13125" windowHeight="9465" activeTab="2" xr2:uid="{DDC835EE-E68E-4405-84CA-BBF9A30D9944}"/>
  </bookViews>
  <sheets>
    <sheet name="AGOSTO" sheetId="1" r:id="rId1"/>
    <sheet name="SETEMBRO" sheetId="7" r:id="rId2"/>
    <sheet name="OUTUBRO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2" i="8" l="1"/>
  <c r="O12" i="8"/>
  <c r="B22" i="8"/>
  <c r="N12" i="8"/>
  <c r="F8" i="8"/>
  <c r="G8" i="8"/>
  <c r="H8" i="8"/>
  <c r="I8" i="8"/>
  <c r="J8" i="8"/>
  <c r="K8" i="8"/>
  <c r="N8" i="8"/>
  <c r="O8" i="8"/>
  <c r="P8" i="8"/>
  <c r="F11" i="8"/>
  <c r="G11" i="8"/>
  <c r="H11" i="8"/>
  <c r="I11" i="8"/>
  <c r="J11" i="8"/>
  <c r="N11" i="8"/>
  <c r="O11" i="8"/>
  <c r="P11" i="8"/>
  <c r="C11" i="8"/>
  <c r="B11" i="8"/>
  <c r="C8" i="8"/>
  <c r="D8" i="8"/>
  <c r="B8" i="8"/>
  <c r="B18" i="8"/>
  <c r="B19" i="8"/>
  <c r="C43" i="8"/>
  <c r="C28" i="8"/>
  <c r="C27" i="8"/>
  <c r="B23" i="8"/>
  <c r="B21" i="8"/>
  <c r="B17" i="8"/>
  <c r="B16" i="8"/>
  <c r="AC10" i="7"/>
  <c r="AC7" i="7" s="1"/>
  <c r="AD10" i="7"/>
  <c r="AD7" i="7" s="1"/>
  <c r="AE10" i="7"/>
  <c r="AE7" i="7" s="1"/>
  <c r="W10" i="7"/>
  <c r="W7" i="7" s="1"/>
  <c r="X10" i="7"/>
  <c r="X7" i="7" s="1"/>
  <c r="Y10" i="7"/>
  <c r="Y7" i="7" s="1"/>
  <c r="Z10" i="7"/>
  <c r="Z7" i="7" s="1"/>
  <c r="V10" i="7"/>
  <c r="T10" i="7"/>
  <c r="V7" i="7"/>
  <c r="R10" i="7"/>
  <c r="R7" i="7" s="1"/>
  <c r="S10" i="7"/>
  <c r="S7" i="7" s="1"/>
  <c r="Q10" i="7"/>
  <c r="Q7" i="7"/>
  <c r="L10" i="7"/>
  <c r="L7" i="7"/>
  <c r="H7" i="7"/>
  <c r="C10" i="7"/>
  <c r="D10" i="7"/>
  <c r="E10" i="7"/>
  <c r="F10" i="7"/>
  <c r="I10" i="7"/>
  <c r="J10" i="7"/>
  <c r="K10" i="7"/>
  <c r="B10" i="7"/>
  <c r="I7" i="7"/>
  <c r="J7" i="7"/>
  <c r="K7" i="7"/>
  <c r="C7" i="7"/>
  <c r="D7" i="7"/>
  <c r="E7" i="7"/>
  <c r="F7" i="7"/>
  <c r="B7" i="7"/>
  <c r="C41" i="7"/>
  <c r="C26" i="7"/>
  <c r="C25" i="7"/>
  <c r="B21" i="7"/>
  <c r="B20" i="7"/>
  <c r="B19" i="7"/>
  <c r="B17" i="7"/>
  <c r="B16" i="7"/>
  <c r="B15" i="7"/>
  <c r="B16" i="1"/>
  <c r="B15" i="1"/>
  <c r="B11" i="1"/>
  <c r="B12" i="1"/>
  <c r="B13" i="1"/>
  <c r="B14" i="1"/>
  <c r="AB8" i="1"/>
  <c r="C21" i="1"/>
  <c r="C20" i="1"/>
  <c r="B20" i="8" l="1"/>
  <c r="B18" i="7"/>
</calcChain>
</file>

<file path=xl/sharedStrings.xml><?xml version="1.0" encoding="utf-8"?>
<sst xmlns="http://schemas.openxmlformats.org/spreadsheetml/2006/main" count="298" uniqueCount="66">
  <si>
    <t>Entulho</t>
  </si>
  <si>
    <t>Classe 2A</t>
  </si>
  <si>
    <t>Seletiva</t>
  </si>
  <si>
    <t>Solo_diario</t>
  </si>
  <si>
    <t>Água</t>
  </si>
  <si>
    <t>Solo_total_hora</t>
  </si>
  <si>
    <t>Solo_por_hora</t>
  </si>
  <si>
    <t>Solo_por_caminhão</t>
  </si>
  <si>
    <t>AGOSTO (PESO EM KG)</t>
  </si>
  <si>
    <t>SOMA (KG)</t>
  </si>
  <si>
    <t>DISTANCIA PERCORRIDA</t>
  </si>
  <si>
    <t>PIPA</t>
  </si>
  <si>
    <t>REP+ATER</t>
  </si>
  <si>
    <t>ABASTECER</t>
  </si>
  <si>
    <t>DIAS</t>
  </si>
  <si>
    <t>SAB</t>
  </si>
  <si>
    <t>DOM</t>
  </si>
  <si>
    <t>SEG</t>
  </si>
  <si>
    <t>TER</t>
  </si>
  <si>
    <t>QUA</t>
  </si>
  <si>
    <t>QUI</t>
  </si>
  <si>
    <t>SEX</t>
  </si>
  <si>
    <t>SÁB</t>
  </si>
  <si>
    <t>FERIADO</t>
  </si>
  <si>
    <t>TEMPO</t>
  </si>
  <si>
    <t>MERCEDES</t>
  </si>
  <si>
    <t>JAZ -&gt; CEL</t>
  </si>
  <si>
    <t>FORD</t>
  </si>
  <si>
    <t>VIAG/HR</t>
  </si>
  <si>
    <t>MANUT.</t>
  </si>
  <si>
    <t>DIST/HR</t>
  </si>
  <si>
    <t>Galhada</t>
  </si>
  <si>
    <t>SETEMBRO (PESO EM KG)</t>
  </si>
  <si>
    <t>PORCENTAGEM DE RECIC. COOTCRAT</t>
  </si>
  <si>
    <t>S1</t>
  </si>
  <si>
    <t>S2</t>
  </si>
  <si>
    <t>S3</t>
  </si>
  <si>
    <t>S4</t>
  </si>
  <si>
    <t>R. DMC</t>
  </si>
  <si>
    <t>SAÍDA DE RECIC. COOTCRAT (KG)</t>
  </si>
  <si>
    <t>Classe 2A_Real</t>
  </si>
  <si>
    <t>R. DMC + SLT</t>
  </si>
  <si>
    <t>Triagem</t>
  </si>
  <si>
    <t>Carregamento_nreciclado</t>
  </si>
  <si>
    <t>ORDEM DE PREENCHIMENTO</t>
  </si>
  <si>
    <t>Mercedes</t>
  </si>
  <si>
    <t>Ford</t>
  </si>
  <si>
    <t>Pipa</t>
  </si>
  <si>
    <t>Escavadeira</t>
  </si>
  <si>
    <t>Trator de Esteira</t>
  </si>
  <si>
    <t>Pá Carregadeira</t>
  </si>
  <si>
    <t>CHUVA</t>
  </si>
  <si>
    <t>Pá Mant</t>
  </si>
  <si>
    <t>Esc. Mant</t>
  </si>
  <si>
    <t xml:space="preserve">Apenas 3 caminhões por dia vão para o cootcrat, a porcentagem deve ser contabilizada pela diferença do n reciclado, </t>
  </si>
  <si>
    <t>Classe 2A x Lixo Domiciliar</t>
  </si>
  <si>
    <t>LD</t>
  </si>
  <si>
    <t>CLEAN MASTER PORTA A PORTA</t>
  </si>
  <si>
    <t>2A</t>
  </si>
  <si>
    <t>RESIDUOS EXTERNOS DA COLETA</t>
  </si>
  <si>
    <t>S5</t>
  </si>
  <si>
    <t>Pipa Mant.</t>
  </si>
  <si>
    <t>Lixo Domiciliar (Coleta)</t>
  </si>
  <si>
    <t>OUTUBRO (PESO EM KG)</t>
  </si>
  <si>
    <t>PREÇO DO COMBUSTIVEL (R$)</t>
  </si>
  <si>
    <t xml:space="preserve">Apenas 6 caminhões por dia vão para o cootcrat, a porcentagem deve ser contabilizada pela diferença do n reciclado,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</si>
</sst>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00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111827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15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1" fillId="0" borderId="6" xfId="0" applyFont="1" applyBorder="1"/>
    <xf numFmtId="0" fontId="2" fillId="0" borderId="0" xfId="0" applyFont="1"/>
    <xf numFmtId="0" fontId="3" fillId="0" borderId="8" xfId="0" applyFont="1" applyBorder="1" applyAlignment="1">
      <alignment horizontal="right" vertical="center" wrapText="1"/>
    </xf>
    <xf numFmtId="0" fontId="1" fillId="0" borderId="9" xfId="0" applyFont="1" applyBorder="1"/>
    <xf numFmtId="3" fontId="0" fillId="0" borderId="1" xfId="0" applyNumberFormat="1" applyBorder="1"/>
    <xf numFmtId="3" fontId="0" fillId="0" borderId="10" xfId="0" applyNumberFormat="1" applyBorder="1"/>
    <xf numFmtId="3" fontId="3" fillId="0" borderId="1" xfId="0" applyNumberFormat="1" applyFont="1" applyBorder="1" applyAlignment="1">
      <alignment horizontal="right" vertical="center" wrapText="1"/>
    </xf>
    <xf numFmtId="3" fontId="0" fillId="0" borderId="3" xfId="0" applyNumberFormat="1" applyBorder="1"/>
    <xf numFmtId="3" fontId="0" fillId="0" borderId="5" xfId="0" applyNumberFormat="1" applyBorder="1"/>
    <xf numFmtId="3" fontId="0" fillId="0" borderId="7" xfId="0" applyNumberFormat="1" applyFill="1" applyBorder="1"/>
    <xf numFmtId="0" fontId="1" fillId="0" borderId="14" xfId="0" applyFont="1" applyBorder="1"/>
    <xf numFmtId="0" fontId="1" fillId="0" borderId="4" xfId="0" applyFont="1" applyBorder="1"/>
    <xf numFmtId="3" fontId="0" fillId="0" borderId="7" xfId="0" applyNumberFormat="1" applyBorder="1"/>
    <xf numFmtId="0" fontId="0" fillId="2" borderId="2" xfId="0" applyFill="1" applyBorder="1"/>
    <xf numFmtId="0" fontId="0" fillId="2" borderId="3" xfId="0" applyFill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3" fontId="0" fillId="5" borderId="1" xfId="0" applyNumberFormat="1" applyFill="1" applyBorder="1"/>
    <xf numFmtId="3" fontId="0" fillId="0" borderId="1" xfId="0" applyNumberFormat="1" applyFill="1" applyBorder="1" applyAlignment="1">
      <alignment horizontal="right"/>
    </xf>
    <xf numFmtId="0" fontId="0" fillId="6" borderId="15" xfId="0" applyFill="1" applyBorder="1"/>
    <xf numFmtId="164" fontId="0" fillId="6" borderId="7" xfId="0" applyNumberFormat="1" applyFill="1" applyBorder="1"/>
    <xf numFmtId="0" fontId="0" fillId="2" borderId="26" xfId="0" applyFill="1" applyBorder="1" applyAlignment="1"/>
    <xf numFmtId="3" fontId="0" fillId="7" borderId="1" xfId="0" applyNumberFormat="1" applyFill="1" applyBorder="1"/>
    <xf numFmtId="0" fontId="1" fillId="7" borderId="6" xfId="0" applyFont="1" applyFill="1" applyBorder="1"/>
    <xf numFmtId="3" fontId="0" fillId="7" borderId="7" xfId="0" applyNumberFormat="1" applyFill="1" applyBorder="1"/>
    <xf numFmtId="3" fontId="0" fillId="8" borderId="1" xfId="0" applyNumberFormat="1" applyFill="1" applyBorder="1"/>
    <xf numFmtId="0" fontId="0" fillId="0" borderId="27" xfId="0" applyBorder="1"/>
    <xf numFmtId="0" fontId="0" fillId="0" borderId="28" xfId="0" applyBorder="1"/>
    <xf numFmtId="3" fontId="0" fillId="0" borderId="1" xfId="0" applyNumberFormat="1" applyFill="1" applyBorder="1"/>
    <xf numFmtId="0" fontId="1" fillId="7" borderId="9" xfId="0" applyFont="1" applyFill="1" applyBorder="1"/>
    <xf numFmtId="0" fontId="1" fillId="9" borderId="4" xfId="0" applyFont="1" applyFill="1" applyBorder="1"/>
    <xf numFmtId="0" fontId="1" fillId="9" borderId="30" xfId="0" applyFont="1" applyFill="1" applyBorder="1"/>
    <xf numFmtId="3" fontId="0" fillId="0" borderId="31" xfId="0" applyNumberFormat="1" applyFill="1" applyBorder="1"/>
    <xf numFmtId="0" fontId="0" fillId="7" borderId="1" xfId="0" applyFill="1" applyBorder="1"/>
    <xf numFmtId="3" fontId="3" fillId="7" borderId="1" xfId="0" applyNumberFormat="1" applyFont="1" applyFill="1" applyBorder="1" applyAlignment="1">
      <alignment horizontal="right" vertical="center" wrapText="1"/>
    </xf>
    <xf numFmtId="3" fontId="0" fillId="7" borderId="11" xfId="0" applyNumberFormat="1" applyFill="1" applyBorder="1"/>
    <xf numFmtId="3" fontId="0" fillId="9" borderId="1" xfId="0" applyNumberFormat="1" applyFill="1" applyBorder="1"/>
    <xf numFmtId="0" fontId="0" fillId="7" borderId="0" xfId="0" applyFill="1"/>
    <xf numFmtId="0" fontId="0" fillId="0" borderId="1" xfId="0" applyFill="1" applyBorder="1"/>
    <xf numFmtId="3" fontId="3" fillId="0" borderId="1" xfId="0" applyNumberFormat="1" applyFont="1" applyFill="1" applyBorder="1" applyAlignment="1">
      <alignment horizontal="right" vertical="center" wrapText="1"/>
    </xf>
    <xf numFmtId="0" fontId="1" fillId="0" borderId="9" xfId="0" applyFont="1" applyFill="1" applyBorder="1"/>
    <xf numFmtId="3" fontId="0" fillId="10" borderId="1" xfId="0" applyNumberFormat="1" applyFill="1" applyBorder="1"/>
    <xf numFmtId="0" fontId="0" fillId="11" borderId="1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6" xfId="0" applyBorder="1"/>
    <xf numFmtId="0" fontId="0" fillId="12" borderId="2" xfId="0" applyFill="1" applyBorder="1" applyAlignment="1">
      <alignment horizontal="center"/>
    </xf>
    <xf numFmtId="165" fontId="0" fillId="0" borderId="1" xfId="1" applyNumberFormat="1" applyFont="1" applyBorder="1"/>
    <xf numFmtId="165" fontId="0" fillId="0" borderId="15" xfId="1" applyNumberFormat="1" applyFont="1" applyBorder="1"/>
    <xf numFmtId="0" fontId="1" fillId="0" borderId="0" xfId="0" applyFont="1" applyBorder="1"/>
    <xf numFmtId="3" fontId="0" fillId="0" borderId="37" xfId="0" applyNumberFormat="1" applyFill="1" applyBorder="1"/>
    <xf numFmtId="3" fontId="0" fillId="0" borderId="0" xfId="0" applyNumberFormat="1" applyBorder="1"/>
    <xf numFmtId="3" fontId="0" fillId="0" borderId="0" xfId="0" applyNumberFormat="1" applyFill="1" applyBorder="1"/>
    <xf numFmtId="3" fontId="0" fillId="10" borderId="0" xfId="0" applyNumberFormat="1" applyFill="1" applyBorder="1"/>
    <xf numFmtId="0" fontId="0" fillId="0" borderId="38" xfId="0" applyBorder="1"/>
    <xf numFmtId="165" fontId="0" fillId="0" borderId="0" xfId="1" applyNumberFormat="1" applyFont="1" applyBorder="1"/>
    <xf numFmtId="165" fontId="0" fillId="0" borderId="39" xfId="1" applyNumberFormat="1" applyFont="1" applyBorder="1"/>
    <xf numFmtId="0" fontId="0" fillId="0" borderId="15" xfId="1" applyNumberFormat="1" applyFont="1" applyBorder="1"/>
    <xf numFmtId="0" fontId="0" fillId="0" borderId="7" xfId="1" applyNumberFormat="1" applyFont="1" applyBorder="1"/>
    <xf numFmtId="3" fontId="3" fillId="8" borderId="1" xfId="0" applyNumberFormat="1" applyFont="1" applyFill="1" applyBorder="1" applyAlignment="1">
      <alignment horizontal="right" vertical="center" wrapText="1"/>
    </xf>
    <xf numFmtId="165" fontId="0" fillId="7" borderId="1" xfId="1" applyNumberFormat="1" applyFont="1" applyFill="1" applyBorder="1"/>
    <xf numFmtId="165" fontId="0" fillId="7" borderId="15" xfId="1" applyNumberFormat="1" applyFont="1" applyFill="1" applyBorder="1"/>
    <xf numFmtId="3" fontId="0" fillId="0" borderId="40" xfId="0" applyNumberFormat="1" applyFill="1" applyBorder="1" applyAlignment="1"/>
    <xf numFmtId="0" fontId="1" fillId="7" borderId="1" xfId="0" applyFont="1" applyFill="1" applyBorder="1"/>
    <xf numFmtId="3" fontId="0" fillId="6" borderId="1" xfId="0" applyNumberFormat="1" applyFill="1" applyBorder="1"/>
    <xf numFmtId="3" fontId="3" fillId="6" borderId="1" xfId="0" applyNumberFormat="1" applyFont="1" applyFill="1" applyBorder="1" applyAlignment="1">
      <alignment horizontal="right" vertical="center" wrapText="1"/>
    </xf>
    <xf numFmtId="0" fontId="0" fillId="6" borderId="0" xfId="0" applyFill="1"/>
    <xf numFmtId="0" fontId="0" fillId="6" borderId="1" xfId="0" applyFill="1" applyBorder="1"/>
    <xf numFmtId="3" fontId="0" fillId="7" borderId="0" xfId="0" applyNumberFormat="1" applyFill="1" applyBorder="1"/>
    <xf numFmtId="0" fontId="0" fillId="0" borderId="3" xfId="0" applyFill="1" applyBorder="1" applyAlignment="1">
      <alignment horizontal="center"/>
    </xf>
    <xf numFmtId="0" fontId="0" fillId="0" borderId="5" xfId="0" applyBorder="1"/>
    <xf numFmtId="0" fontId="0" fillId="0" borderId="7" xfId="0" applyBorder="1"/>
    <xf numFmtId="3" fontId="0" fillId="14" borderId="1" xfId="0" applyNumberFormat="1" applyFill="1" applyBorder="1"/>
    <xf numFmtId="3" fontId="0" fillId="14" borderId="10" xfId="0" applyNumberFormat="1" applyFill="1" applyBorder="1"/>
    <xf numFmtId="0" fontId="1" fillId="8" borderId="9" xfId="0" applyFont="1" applyFill="1" applyBorder="1"/>
    <xf numFmtId="3" fontId="0" fillId="0" borderId="0" xfId="0" applyNumberFormat="1"/>
    <xf numFmtId="3" fontId="0" fillId="0" borderId="10" xfId="0" applyNumberFormat="1" applyFill="1" applyBorder="1"/>
    <xf numFmtId="0" fontId="0" fillId="0" borderId="0" xfId="0" applyFill="1"/>
    <xf numFmtId="0" fontId="0" fillId="15" borderId="1" xfId="0" applyFill="1" applyBorder="1"/>
    <xf numFmtId="0" fontId="0" fillId="16" borderId="1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0" borderId="6" xfId="0" applyBorder="1" applyAlignment="1">
      <alignment horizontal="center"/>
    </xf>
    <xf numFmtId="44" fontId="0" fillId="0" borderId="15" xfId="2" applyFont="1" applyBorder="1"/>
    <xf numFmtId="44" fontId="0" fillId="0" borderId="7" xfId="2" applyFont="1" applyBorder="1"/>
    <xf numFmtId="0" fontId="1" fillId="0" borderId="1" xfId="0" applyFont="1" applyFill="1" applyBorder="1"/>
    <xf numFmtId="165" fontId="0" fillId="0" borderId="1" xfId="1" applyNumberFormat="1" applyFont="1" applyFill="1" applyBorder="1"/>
    <xf numFmtId="165" fontId="0" fillId="0" borderId="15" xfId="1" applyNumberFormat="1" applyFont="1" applyFill="1" applyBorder="1"/>
    <xf numFmtId="10" fontId="0" fillId="0" borderId="1" xfId="1" applyNumberFormat="1" applyFont="1" applyBorder="1"/>
    <xf numFmtId="10" fontId="0" fillId="0" borderId="15" xfId="1" applyNumberFormat="1" applyFont="1" applyBorder="1"/>
    <xf numFmtId="0" fontId="0" fillId="0" borderId="0" xfId="0" applyBorder="1"/>
    <xf numFmtId="3" fontId="0" fillId="8" borderId="0" xfId="0" applyNumberFormat="1" applyFill="1" applyBorder="1"/>
    <xf numFmtId="0" fontId="0" fillId="3" borderId="11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6" borderId="34" xfId="0" applyFill="1" applyBorder="1" applyAlignment="1">
      <alignment horizontal="center"/>
    </xf>
    <xf numFmtId="0" fontId="0" fillId="6" borderId="35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3" borderId="19" xfId="0" applyFill="1" applyBorder="1" applyAlignment="1">
      <alignment horizontal="center"/>
    </xf>
    <xf numFmtId="0" fontId="0" fillId="13" borderId="20" xfId="0" applyFill="1" applyBorder="1" applyAlignment="1">
      <alignment horizontal="center"/>
    </xf>
    <xf numFmtId="0" fontId="0" fillId="13" borderId="2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11" borderId="11" xfId="0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14" borderId="0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15" borderId="32" xfId="0" applyFill="1" applyBorder="1" applyAlignment="1">
      <alignment horizontal="center"/>
    </xf>
    <xf numFmtId="0" fontId="0" fillId="15" borderId="33" xfId="0" applyFill="1" applyBorder="1" applyAlignment="1">
      <alignment horizontal="center"/>
    </xf>
    <xf numFmtId="0" fontId="0" fillId="16" borderId="11" xfId="0" applyFill="1" applyBorder="1" applyAlignment="1">
      <alignment horizontal="center" vertical="center"/>
    </xf>
    <xf numFmtId="0" fontId="0" fillId="16" borderId="17" xfId="0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44" xfId="0" applyFill="1" applyBorder="1" applyAlignment="1">
      <alignment horizontal="center"/>
    </xf>
    <xf numFmtId="0" fontId="0" fillId="6" borderId="13" xfId="0" applyFill="1" applyBorder="1" applyAlignment="1">
      <alignment horizontal="center"/>
    </xf>
  </cellXfs>
  <cellStyles count="3">
    <cellStyle name="Moeda" xfId="2" builtinId="4"/>
    <cellStyle name="Normal" xfId="0" builtinId="0"/>
    <cellStyle name="Porcentagem" xfId="1" builtinId="5"/>
  </cellStyles>
  <dxfs count="2"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3</xdr:row>
      <xdr:rowOff>47625</xdr:rowOff>
    </xdr:from>
    <xdr:to>
      <xdr:col>2</xdr:col>
      <xdr:colOff>371475</xdr:colOff>
      <xdr:row>3</xdr:row>
      <xdr:rowOff>152400</xdr:rowOff>
    </xdr:to>
    <xdr:sp macro="" textlink="">
      <xdr:nvSpPr>
        <xdr:cNvPr id="2" name="Símbolo de &quot;Não Permitido&quot; 1">
          <a:extLst>
            <a:ext uri="{FF2B5EF4-FFF2-40B4-BE49-F238E27FC236}">
              <a16:creationId xmlns:a16="http://schemas.microsoft.com/office/drawing/2014/main" id="{EBEA00B9-B77B-4897-8635-A9A5B6FCDE5F}"/>
            </a:ext>
          </a:extLst>
        </xdr:cNvPr>
        <xdr:cNvSpPr/>
      </xdr:nvSpPr>
      <xdr:spPr>
        <a:xfrm>
          <a:off x="2105025" y="428625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285750</xdr:colOff>
      <xdr:row>8</xdr:row>
      <xdr:rowOff>38100</xdr:rowOff>
    </xdr:from>
    <xdr:to>
      <xdr:col>2</xdr:col>
      <xdr:colOff>390525</xdr:colOff>
      <xdr:row>8</xdr:row>
      <xdr:rowOff>142875</xdr:rowOff>
    </xdr:to>
    <xdr:sp macro="" textlink="">
      <xdr:nvSpPr>
        <xdr:cNvPr id="3" name="Símbolo de &quot;Não Permitido&quot; 2">
          <a:extLst>
            <a:ext uri="{FF2B5EF4-FFF2-40B4-BE49-F238E27FC236}">
              <a16:creationId xmlns:a16="http://schemas.microsoft.com/office/drawing/2014/main" id="{1D3FBED8-5CB3-421F-BB58-E4A10B3C4734}"/>
            </a:ext>
          </a:extLst>
        </xdr:cNvPr>
        <xdr:cNvSpPr/>
      </xdr:nvSpPr>
      <xdr:spPr>
        <a:xfrm>
          <a:off x="2124075" y="1181100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266700</xdr:colOff>
      <xdr:row>6</xdr:row>
      <xdr:rowOff>47625</xdr:rowOff>
    </xdr:from>
    <xdr:to>
      <xdr:col>2</xdr:col>
      <xdr:colOff>371475</xdr:colOff>
      <xdr:row>6</xdr:row>
      <xdr:rowOff>152400</xdr:rowOff>
    </xdr:to>
    <xdr:sp macro="" textlink="">
      <xdr:nvSpPr>
        <xdr:cNvPr id="4" name="Símbolo de &quot;Não Permitido&quot; 3">
          <a:extLst>
            <a:ext uri="{FF2B5EF4-FFF2-40B4-BE49-F238E27FC236}">
              <a16:creationId xmlns:a16="http://schemas.microsoft.com/office/drawing/2014/main" id="{44753326-BC66-4F1F-A677-F44723D5DDBA}"/>
            </a:ext>
          </a:extLst>
        </xdr:cNvPr>
        <xdr:cNvSpPr/>
      </xdr:nvSpPr>
      <xdr:spPr>
        <a:xfrm>
          <a:off x="2105025" y="809625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276225</xdr:colOff>
      <xdr:row>7</xdr:row>
      <xdr:rowOff>47625</xdr:rowOff>
    </xdr:from>
    <xdr:to>
      <xdr:col>2</xdr:col>
      <xdr:colOff>381000</xdr:colOff>
      <xdr:row>7</xdr:row>
      <xdr:rowOff>152400</xdr:rowOff>
    </xdr:to>
    <xdr:sp macro="" textlink="">
      <xdr:nvSpPr>
        <xdr:cNvPr id="5" name="Símbolo de &quot;Não Permitido&quot; 4">
          <a:extLst>
            <a:ext uri="{FF2B5EF4-FFF2-40B4-BE49-F238E27FC236}">
              <a16:creationId xmlns:a16="http://schemas.microsoft.com/office/drawing/2014/main" id="{39718114-78D4-49AD-A744-97CC044DEE45}"/>
            </a:ext>
          </a:extLst>
        </xdr:cNvPr>
        <xdr:cNvSpPr/>
      </xdr:nvSpPr>
      <xdr:spPr>
        <a:xfrm>
          <a:off x="2114550" y="1000125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266700</xdr:colOff>
      <xdr:row>5</xdr:row>
      <xdr:rowOff>47625</xdr:rowOff>
    </xdr:from>
    <xdr:to>
      <xdr:col>2</xdr:col>
      <xdr:colOff>371475</xdr:colOff>
      <xdr:row>5</xdr:row>
      <xdr:rowOff>152400</xdr:rowOff>
    </xdr:to>
    <xdr:sp macro="" textlink="">
      <xdr:nvSpPr>
        <xdr:cNvPr id="6" name="Símbolo de &quot;Não Permitido&quot; 5">
          <a:extLst>
            <a:ext uri="{FF2B5EF4-FFF2-40B4-BE49-F238E27FC236}">
              <a16:creationId xmlns:a16="http://schemas.microsoft.com/office/drawing/2014/main" id="{0FA3D5A9-5AC2-48BC-AE9D-D8106D8E0886}"/>
            </a:ext>
          </a:extLst>
        </xdr:cNvPr>
        <xdr:cNvSpPr/>
      </xdr:nvSpPr>
      <xdr:spPr>
        <a:xfrm>
          <a:off x="2105025" y="619125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271462</xdr:colOff>
      <xdr:row>3</xdr:row>
      <xdr:rowOff>47625</xdr:rowOff>
    </xdr:from>
    <xdr:to>
      <xdr:col>2</xdr:col>
      <xdr:colOff>376237</xdr:colOff>
      <xdr:row>3</xdr:row>
      <xdr:rowOff>152400</xdr:rowOff>
    </xdr:to>
    <xdr:sp macro="" textlink="">
      <xdr:nvSpPr>
        <xdr:cNvPr id="7" name="Símbolo de &quot;Não Permitido&quot; 6">
          <a:extLst>
            <a:ext uri="{FF2B5EF4-FFF2-40B4-BE49-F238E27FC236}">
              <a16:creationId xmlns:a16="http://schemas.microsoft.com/office/drawing/2014/main" id="{3B349FA2-5DC0-438A-B442-48B393305DBB}"/>
            </a:ext>
          </a:extLst>
        </xdr:cNvPr>
        <xdr:cNvSpPr/>
      </xdr:nvSpPr>
      <xdr:spPr>
        <a:xfrm>
          <a:off x="2105025" y="428625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280987</xdr:colOff>
      <xdr:row>7</xdr:row>
      <xdr:rowOff>47625</xdr:rowOff>
    </xdr:from>
    <xdr:to>
      <xdr:col>2</xdr:col>
      <xdr:colOff>385762</xdr:colOff>
      <xdr:row>7</xdr:row>
      <xdr:rowOff>152400</xdr:rowOff>
    </xdr:to>
    <xdr:sp macro="" textlink="">
      <xdr:nvSpPr>
        <xdr:cNvPr id="8" name="Símbolo de &quot;Não Permitido&quot; 7">
          <a:extLst>
            <a:ext uri="{FF2B5EF4-FFF2-40B4-BE49-F238E27FC236}">
              <a16:creationId xmlns:a16="http://schemas.microsoft.com/office/drawing/2014/main" id="{546AF4C3-9989-4388-80BA-6583DE3F7012}"/>
            </a:ext>
          </a:extLst>
        </xdr:cNvPr>
        <xdr:cNvSpPr/>
      </xdr:nvSpPr>
      <xdr:spPr>
        <a:xfrm>
          <a:off x="2114550" y="1000125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271462</xdr:colOff>
      <xdr:row>5</xdr:row>
      <xdr:rowOff>47625</xdr:rowOff>
    </xdr:from>
    <xdr:to>
      <xdr:col>2</xdr:col>
      <xdr:colOff>376237</xdr:colOff>
      <xdr:row>5</xdr:row>
      <xdr:rowOff>152400</xdr:rowOff>
    </xdr:to>
    <xdr:sp macro="" textlink="">
      <xdr:nvSpPr>
        <xdr:cNvPr id="9" name="Símbolo de &quot;Não Permitido&quot; 8">
          <a:extLst>
            <a:ext uri="{FF2B5EF4-FFF2-40B4-BE49-F238E27FC236}">
              <a16:creationId xmlns:a16="http://schemas.microsoft.com/office/drawing/2014/main" id="{4E08274C-1564-48EF-A80C-AFD7077051C0}"/>
            </a:ext>
          </a:extLst>
        </xdr:cNvPr>
        <xdr:cNvSpPr/>
      </xdr:nvSpPr>
      <xdr:spPr>
        <a:xfrm>
          <a:off x="2105025" y="619125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251222</xdr:colOff>
      <xdr:row>5</xdr:row>
      <xdr:rowOff>45243</xdr:rowOff>
    </xdr:from>
    <xdr:to>
      <xdr:col>9</xdr:col>
      <xdr:colOff>355997</xdr:colOff>
      <xdr:row>5</xdr:row>
      <xdr:rowOff>150018</xdr:rowOff>
    </xdr:to>
    <xdr:sp macro="" textlink="">
      <xdr:nvSpPr>
        <xdr:cNvPr id="10" name="Símbolo de &quot;Não Permitido&quot; 9">
          <a:extLst>
            <a:ext uri="{FF2B5EF4-FFF2-40B4-BE49-F238E27FC236}">
              <a16:creationId xmlns:a16="http://schemas.microsoft.com/office/drawing/2014/main" id="{5B68AC61-F245-4019-AE0F-7319F8D1E50B}"/>
            </a:ext>
          </a:extLst>
        </xdr:cNvPr>
        <xdr:cNvSpPr/>
      </xdr:nvSpPr>
      <xdr:spPr>
        <a:xfrm>
          <a:off x="6335316" y="616743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260747</xdr:colOff>
      <xdr:row>8</xdr:row>
      <xdr:rowOff>45243</xdr:rowOff>
    </xdr:from>
    <xdr:to>
      <xdr:col>9</xdr:col>
      <xdr:colOff>365522</xdr:colOff>
      <xdr:row>8</xdr:row>
      <xdr:rowOff>150018</xdr:rowOff>
    </xdr:to>
    <xdr:sp macro="" textlink="">
      <xdr:nvSpPr>
        <xdr:cNvPr id="11" name="Símbolo de &quot;Não Permitido&quot; 10">
          <a:extLst>
            <a:ext uri="{FF2B5EF4-FFF2-40B4-BE49-F238E27FC236}">
              <a16:creationId xmlns:a16="http://schemas.microsoft.com/office/drawing/2014/main" id="{8F7945BF-5BEB-411E-ADC4-81860875C9DD}"/>
            </a:ext>
          </a:extLst>
        </xdr:cNvPr>
        <xdr:cNvSpPr/>
      </xdr:nvSpPr>
      <xdr:spPr>
        <a:xfrm>
          <a:off x="6344841" y="1188243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251222</xdr:colOff>
      <xdr:row>6</xdr:row>
      <xdr:rowOff>45243</xdr:rowOff>
    </xdr:from>
    <xdr:to>
      <xdr:col>9</xdr:col>
      <xdr:colOff>355997</xdr:colOff>
      <xdr:row>6</xdr:row>
      <xdr:rowOff>150018</xdr:rowOff>
    </xdr:to>
    <xdr:sp macro="" textlink="">
      <xdr:nvSpPr>
        <xdr:cNvPr id="12" name="Símbolo de &quot;Não Permitido&quot; 11">
          <a:extLst>
            <a:ext uri="{FF2B5EF4-FFF2-40B4-BE49-F238E27FC236}">
              <a16:creationId xmlns:a16="http://schemas.microsoft.com/office/drawing/2014/main" id="{2A8667FB-01E2-4F24-856A-C45EBE224989}"/>
            </a:ext>
          </a:extLst>
        </xdr:cNvPr>
        <xdr:cNvSpPr/>
      </xdr:nvSpPr>
      <xdr:spPr>
        <a:xfrm>
          <a:off x="6335316" y="807243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245269</xdr:colOff>
      <xdr:row>3</xdr:row>
      <xdr:rowOff>51197</xdr:rowOff>
    </xdr:from>
    <xdr:to>
      <xdr:col>9</xdr:col>
      <xdr:colOff>350044</xdr:colOff>
      <xdr:row>3</xdr:row>
      <xdr:rowOff>155972</xdr:rowOff>
    </xdr:to>
    <xdr:sp macro="" textlink="">
      <xdr:nvSpPr>
        <xdr:cNvPr id="13" name="Símbolo de &quot;Não Permitido&quot; 12">
          <a:extLst>
            <a:ext uri="{FF2B5EF4-FFF2-40B4-BE49-F238E27FC236}">
              <a16:creationId xmlns:a16="http://schemas.microsoft.com/office/drawing/2014/main" id="{AB011195-7BC7-4EC3-ABC4-AF88457F007C}"/>
            </a:ext>
          </a:extLst>
        </xdr:cNvPr>
        <xdr:cNvSpPr/>
      </xdr:nvSpPr>
      <xdr:spPr>
        <a:xfrm>
          <a:off x="6329363" y="432197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254794</xdr:colOff>
      <xdr:row>7</xdr:row>
      <xdr:rowOff>51197</xdr:rowOff>
    </xdr:from>
    <xdr:to>
      <xdr:col>9</xdr:col>
      <xdr:colOff>359569</xdr:colOff>
      <xdr:row>7</xdr:row>
      <xdr:rowOff>155972</xdr:rowOff>
    </xdr:to>
    <xdr:sp macro="" textlink="">
      <xdr:nvSpPr>
        <xdr:cNvPr id="14" name="Símbolo de &quot;Não Permitido&quot; 13">
          <a:extLst>
            <a:ext uri="{FF2B5EF4-FFF2-40B4-BE49-F238E27FC236}">
              <a16:creationId xmlns:a16="http://schemas.microsoft.com/office/drawing/2014/main" id="{D3D94D24-F3C1-4865-A2B4-FBA5A7F4EE93}"/>
            </a:ext>
          </a:extLst>
        </xdr:cNvPr>
        <xdr:cNvSpPr/>
      </xdr:nvSpPr>
      <xdr:spPr>
        <a:xfrm>
          <a:off x="6338888" y="1003697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260747</xdr:colOff>
      <xdr:row>5</xdr:row>
      <xdr:rowOff>30956</xdr:rowOff>
    </xdr:from>
    <xdr:to>
      <xdr:col>16</xdr:col>
      <xdr:colOff>365522</xdr:colOff>
      <xdr:row>5</xdr:row>
      <xdr:rowOff>135731</xdr:rowOff>
    </xdr:to>
    <xdr:sp macro="" textlink="">
      <xdr:nvSpPr>
        <xdr:cNvPr id="15" name="Símbolo de &quot;Não Permitido&quot; 14">
          <a:extLst>
            <a:ext uri="{FF2B5EF4-FFF2-40B4-BE49-F238E27FC236}">
              <a16:creationId xmlns:a16="http://schemas.microsoft.com/office/drawing/2014/main" id="{8C3B84B3-2CEB-457C-B96C-E54813FBB605}"/>
            </a:ext>
          </a:extLst>
        </xdr:cNvPr>
        <xdr:cNvSpPr/>
      </xdr:nvSpPr>
      <xdr:spPr>
        <a:xfrm>
          <a:off x="10595372" y="602456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270272</xdr:colOff>
      <xdr:row>8</xdr:row>
      <xdr:rowOff>30956</xdr:rowOff>
    </xdr:from>
    <xdr:to>
      <xdr:col>16</xdr:col>
      <xdr:colOff>375047</xdr:colOff>
      <xdr:row>8</xdr:row>
      <xdr:rowOff>135731</xdr:rowOff>
    </xdr:to>
    <xdr:sp macro="" textlink="">
      <xdr:nvSpPr>
        <xdr:cNvPr id="16" name="Símbolo de &quot;Não Permitido&quot; 15">
          <a:extLst>
            <a:ext uri="{FF2B5EF4-FFF2-40B4-BE49-F238E27FC236}">
              <a16:creationId xmlns:a16="http://schemas.microsoft.com/office/drawing/2014/main" id="{4FB37385-BDEA-43FB-B71A-88CA2F4C532C}"/>
            </a:ext>
          </a:extLst>
        </xdr:cNvPr>
        <xdr:cNvSpPr/>
      </xdr:nvSpPr>
      <xdr:spPr>
        <a:xfrm>
          <a:off x="10604897" y="1173956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254794</xdr:colOff>
      <xdr:row>3</xdr:row>
      <xdr:rowOff>36910</xdr:rowOff>
    </xdr:from>
    <xdr:to>
      <xdr:col>16</xdr:col>
      <xdr:colOff>359569</xdr:colOff>
      <xdr:row>3</xdr:row>
      <xdr:rowOff>141685</xdr:rowOff>
    </xdr:to>
    <xdr:sp macro="" textlink="">
      <xdr:nvSpPr>
        <xdr:cNvPr id="17" name="Símbolo de &quot;Não Permitido&quot; 16">
          <a:extLst>
            <a:ext uri="{FF2B5EF4-FFF2-40B4-BE49-F238E27FC236}">
              <a16:creationId xmlns:a16="http://schemas.microsoft.com/office/drawing/2014/main" id="{CEA9C36E-56AA-4748-A2A6-5EBB7FB42A4E}"/>
            </a:ext>
          </a:extLst>
        </xdr:cNvPr>
        <xdr:cNvSpPr/>
      </xdr:nvSpPr>
      <xdr:spPr>
        <a:xfrm>
          <a:off x="10589419" y="417910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264319</xdr:colOff>
      <xdr:row>7</xdr:row>
      <xdr:rowOff>36910</xdr:rowOff>
    </xdr:from>
    <xdr:to>
      <xdr:col>16</xdr:col>
      <xdr:colOff>369094</xdr:colOff>
      <xdr:row>7</xdr:row>
      <xdr:rowOff>141685</xdr:rowOff>
    </xdr:to>
    <xdr:sp macro="" textlink="">
      <xdr:nvSpPr>
        <xdr:cNvPr id="18" name="Símbolo de &quot;Não Permitido&quot; 17">
          <a:extLst>
            <a:ext uri="{FF2B5EF4-FFF2-40B4-BE49-F238E27FC236}">
              <a16:creationId xmlns:a16="http://schemas.microsoft.com/office/drawing/2014/main" id="{6A79F308-E65A-4A6F-B6C7-AE40057A4331}"/>
            </a:ext>
          </a:extLst>
        </xdr:cNvPr>
        <xdr:cNvSpPr/>
      </xdr:nvSpPr>
      <xdr:spPr>
        <a:xfrm>
          <a:off x="10598944" y="989410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264319</xdr:colOff>
      <xdr:row>5</xdr:row>
      <xdr:rowOff>52387</xdr:rowOff>
    </xdr:from>
    <xdr:to>
      <xdr:col>23</xdr:col>
      <xdr:colOff>369094</xdr:colOff>
      <xdr:row>5</xdr:row>
      <xdr:rowOff>157162</xdr:rowOff>
    </xdr:to>
    <xdr:sp macro="" textlink="">
      <xdr:nvSpPr>
        <xdr:cNvPr id="19" name="Símbolo de &quot;Não Permitido&quot; 18">
          <a:extLst>
            <a:ext uri="{FF2B5EF4-FFF2-40B4-BE49-F238E27FC236}">
              <a16:creationId xmlns:a16="http://schemas.microsoft.com/office/drawing/2014/main" id="{98CC3FAC-D7EB-4C71-9414-1249A3B243BC}"/>
            </a:ext>
          </a:extLst>
        </xdr:cNvPr>
        <xdr:cNvSpPr/>
      </xdr:nvSpPr>
      <xdr:spPr>
        <a:xfrm>
          <a:off x="14849475" y="623887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273844</xdr:colOff>
      <xdr:row>8</xdr:row>
      <xdr:rowOff>52387</xdr:rowOff>
    </xdr:from>
    <xdr:to>
      <xdr:col>23</xdr:col>
      <xdr:colOff>378619</xdr:colOff>
      <xdr:row>8</xdr:row>
      <xdr:rowOff>157162</xdr:rowOff>
    </xdr:to>
    <xdr:sp macro="" textlink="">
      <xdr:nvSpPr>
        <xdr:cNvPr id="20" name="Símbolo de &quot;Não Permitido&quot; 19">
          <a:extLst>
            <a:ext uri="{FF2B5EF4-FFF2-40B4-BE49-F238E27FC236}">
              <a16:creationId xmlns:a16="http://schemas.microsoft.com/office/drawing/2014/main" id="{AECBD530-6B2A-40E5-AC89-1DC5D82C817D}"/>
            </a:ext>
          </a:extLst>
        </xdr:cNvPr>
        <xdr:cNvSpPr/>
      </xdr:nvSpPr>
      <xdr:spPr>
        <a:xfrm>
          <a:off x="14859000" y="1195387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258366</xdr:colOff>
      <xdr:row>3</xdr:row>
      <xdr:rowOff>58341</xdr:rowOff>
    </xdr:from>
    <xdr:to>
      <xdr:col>23</xdr:col>
      <xdr:colOff>363141</xdr:colOff>
      <xdr:row>3</xdr:row>
      <xdr:rowOff>163116</xdr:rowOff>
    </xdr:to>
    <xdr:sp macro="" textlink="">
      <xdr:nvSpPr>
        <xdr:cNvPr id="21" name="Símbolo de &quot;Não Permitido&quot; 20">
          <a:extLst>
            <a:ext uri="{FF2B5EF4-FFF2-40B4-BE49-F238E27FC236}">
              <a16:creationId xmlns:a16="http://schemas.microsoft.com/office/drawing/2014/main" id="{5E8D1A05-2DD4-46DA-9168-3C68FFA632F0}"/>
            </a:ext>
          </a:extLst>
        </xdr:cNvPr>
        <xdr:cNvSpPr/>
      </xdr:nvSpPr>
      <xdr:spPr>
        <a:xfrm>
          <a:off x="14843522" y="439341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267891</xdr:colOff>
      <xdr:row>7</xdr:row>
      <xdr:rowOff>58341</xdr:rowOff>
    </xdr:from>
    <xdr:to>
      <xdr:col>23</xdr:col>
      <xdr:colOff>372666</xdr:colOff>
      <xdr:row>7</xdr:row>
      <xdr:rowOff>163116</xdr:rowOff>
    </xdr:to>
    <xdr:sp macro="" textlink="">
      <xdr:nvSpPr>
        <xdr:cNvPr id="22" name="Símbolo de &quot;Não Permitido&quot; 21">
          <a:extLst>
            <a:ext uri="{FF2B5EF4-FFF2-40B4-BE49-F238E27FC236}">
              <a16:creationId xmlns:a16="http://schemas.microsoft.com/office/drawing/2014/main" id="{318B9D50-75D1-46A6-9D47-1472649E4FDB}"/>
            </a:ext>
          </a:extLst>
        </xdr:cNvPr>
        <xdr:cNvSpPr/>
      </xdr:nvSpPr>
      <xdr:spPr>
        <a:xfrm>
          <a:off x="14853047" y="1010841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250030</xdr:colOff>
      <xdr:row>5</xdr:row>
      <xdr:rowOff>50006</xdr:rowOff>
    </xdr:from>
    <xdr:to>
      <xdr:col>30</xdr:col>
      <xdr:colOff>354805</xdr:colOff>
      <xdr:row>5</xdr:row>
      <xdr:rowOff>154781</xdr:rowOff>
    </xdr:to>
    <xdr:sp macro="" textlink="">
      <xdr:nvSpPr>
        <xdr:cNvPr id="23" name="Símbolo de &quot;Não Permitido&quot; 22">
          <a:extLst>
            <a:ext uri="{FF2B5EF4-FFF2-40B4-BE49-F238E27FC236}">
              <a16:creationId xmlns:a16="http://schemas.microsoft.com/office/drawing/2014/main" id="{FDCBD37B-5D05-4BF6-92CD-381D94EF2B9C}"/>
            </a:ext>
          </a:extLst>
        </xdr:cNvPr>
        <xdr:cNvSpPr/>
      </xdr:nvSpPr>
      <xdr:spPr>
        <a:xfrm>
          <a:off x="19085718" y="621506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259555</xdr:colOff>
      <xdr:row>8</xdr:row>
      <xdr:rowOff>50006</xdr:rowOff>
    </xdr:from>
    <xdr:to>
      <xdr:col>30</xdr:col>
      <xdr:colOff>364330</xdr:colOff>
      <xdr:row>8</xdr:row>
      <xdr:rowOff>154781</xdr:rowOff>
    </xdr:to>
    <xdr:sp macro="" textlink="">
      <xdr:nvSpPr>
        <xdr:cNvPr id="24" name="Símbolo de &quot;Não Permitido&quot; 23">
          <a:extLst>
            <a:ext uri="{FF2B5EF4-FFF2-40B4-BE49-F238E27FC236}">
              <a16:creationId xmlns:a16="http://schemas.microsoft.com/office/drawing/2014/main" id="{5FC17474-0669-48C1-9241-0BA07253289A}"/>
            </a:ext>
          </a:extLst>
        </xdr:cNvPr>
        <xdr:cNvSpPr/>
      </xdr:nvSpPr>
      <xdr:spPr>
        <a:xfrm>
          <a:off x="19095243" y="1193006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244077</xdr:colOff>
      <xdr:row>3</xdr:row>
      <xdr:rowOff>55960</xdr:rowOff>
    </xdr:from>
    <xdr:to>
      <xdr:col>30</xdr:col>
      <xdr:colOff>348852</xdr:colOff>
      <xdr:row>3</xdr:row>
      <xdr:rowOff>160735</xdr:rowOff>
    </xdr:to>
    <xdr:sp macro="" textlink="">
      <xdr:nvSpPr>
        <xdr:cNvPr id="25" name="Símbolo de &quot;Não Permitido&quot; 24">
          <a:extLst>
            <a:ext uri="{FF2B5EF4-FFF2-40B4-BE49-F238E27FC236}">
              <a16:creationId xmlns:a16="http://schemas.microsoft.com/office/drawing/2014/main" id="{80329063-285C-4796-A097-C8AE8AFD2B14}"/>
            </a:ext>
          </a:extLst>
        </xdr:cNvPr>
        <xdr:cNvSpPr/>
      </xdr:nvSpPr>
      <xdr:spPr>
        <a:xfrm>
          <a:off x="19079765" y="436960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253602</xdr:colOff>
      <xdr:row>7</xdr:row>
      <xdr:rowOff>55960</xdr:rowOff>
    </xdr:from>
    <xdr:to>
      <xdr:col>30</xdr:col>
      <xdr:colOff>358377</xdr:colOff>
      <xdr:row>7</xdr:row>
      <xdr:rowOff>160735</xdr:rowOff>
    </xdr:to>
    <xdr:sp macro="" textlink="">
      <xdr:nvSpPr>
        <xdr:cNvPr id="26" name="Símbolo de &quot;Não Permitido&quot; 25">
          <a:extLst>
            <a:ext uri="{FF2B5EF4-FFF2-40B4-BE49-F238E27FC236}">
              <a16:creationId xmlns:a16="http://schemas.microsoft.com/office/drawing/2014/main" id="{C9D8A99C-5884-428D-99CE-BA585E03FEEC}"/>
            </a:ext>
          </a:extLst>
        </xdr:cNvPr>
        <xdr:cNvSpPr/>
      </xdr:nvSpPr>
      <xdr:spPr>
        <a:xfrm>
          <a:off x="19089290" y="1008460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263311</xdr:colOff>
      <xdr:row>6</xdr:row>
      <xdr:rowOff>51014</xdr:rowOff>
    </xdr:from>
    <xdr:to>
      <xdr:col>16</xdr:col>
      <xdr:colOff>368086</xdr:colOff>
      <xdr:row>6</xdr:row>
      <xdr:rowOff>155789</xdr:rowOff>
    </xdr:to>
    <xdr:sp macro="" textlink="">
      <xdr:nvSpPr>
        <xdr:cNvPr id="27" name="Símbolo de &quot;Não Permitido&quot; 26">
          <a:extLst>
            <a:ext uri="{FF2B5EF4-FFF2-40B4-BE49-F238E27FC236}">
              <a16:creationId xmlns:a16="http://schemas.microsoft.com/office/drawing/2014/main" id="{4D5BDA8E-DC78-448B-8D82-6A204822F8CF}"/>
            </a:ext>
          </a:extLst>
        </xdr:cNvPr>
        <xdr:cNvSpPr/>
      </xdr:nvSpPr>
      <xdr:spPr>
        <a:xfrm>
          <a:off x="10762792" y="813014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253603</xdr:colOff>
      <xdr:row>6</xdr:row>
      <xdr:rowOff>55960</xdr:rowOff>
    </xdr:from>
    <xdr:to>
      <xdr:col>23</xdr:col>
      <xdr:colOff>358378</xdr:colOff>
      <xdr:row>6</xdr:row>
      <xdr:rowOff>160735</xdr:rowOff>
    </xdr:to>
    <xdr:sp macro="" textlink="">
      <xdr:nvSpPr>
        <xdr:cNvPr id="28" name="Símbolo de &quot;Não Permitido&quot; 27">
          <a:extLst>
            <a:ext uri="{FF2B5EF4-FFF2-40B4-BE49-F238E27FC236}">
              <a16:creationId xmlns:a16="http://schemas.microsoft.com/office/drawing/2014/main" id="{2B3A32F0-1D13-4A7C-A3A4-913CF2664EB5}"/>
            </a:ext>
          </a:extLst>
        </xdr:cNvPr>
        <xdr:cNvSpPr/>
      </xdr:nvSpPr>
      <xdr:spPr>
        <a:xfrm>
          <a:off x="14838759" y="817960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257174</xdr:colOff>
      <xdr:row>6</xdr:row>
      <xdr:rowOff>53579</xdr:rowOff>
    </xdr:from>
    <xdr:to>
      <xdr:col>30</xdr:col>
      <xdr:colOff>361949</xdr:colOff>
      <xdr:row>6</xdr:row>
      <xdr:rowOff>158354</xdr:rowOff>
    </xdr:to>
    <xdr:sp macro="" textlink="">
      <xdr:nvSpPr>
        <xdr:cNvPr id="29" name="Símbolo de &quot;Não Permitido&quot; 28">
          <a:extLst>
            <a:ext uri="{FF2B5EF4-FFF2-40B4-BE49-F238E27FC236}">
              <a16:creationId xmlns:a16="http://schemas.microsoft.com/office/drawing/2014/main" id="{9E798AAC-4DF4-48CB-A1A1-1BDC4FE5971B}"/>
            </a:ext>
          </a:extLst>
        </xdr:cNvPr>
        <xdr:cNvSpPr/>
      </xdr:nvSpPr>
      <xdr:spPr>
        <a:xfrm>
          <a:off x="19092862" y="815579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265967</xdr:colOff>
      <xdr:row>4</xdr:row>
      <xdr:rowOff>47625</xdr:rowOff>
    </xdr:from>
    <xdr:to>
      <xdr:col>2</xdr:col>
      <xdr:colOff>370742</xdr:colOff>
      <xdr:row>4</xdr:row>
      <xdr:rowOff>152400</xdr:rowOff>
    </xdr:to>
    <xdr:sp macro="" textlink="">
      <xdr:nvSpPr>
        <xdr:cNvPr id="30" name="Símbolo de &quot;Não Permitido&quot; 29">
          <a:extLst>
            <a:ext uri="{FF2B5EF4-FFF2-40B4-BE49-F238E27FC236}">
              <a16:creationId xmlns:a16="http://schemas.microsoft.com/office/drawing/2014/main" id="{4A7ED28F-2FE5-4213-A211-99A47DA121F5}"/>
            </a:ext>
          </a:extLst>
        </xdr:cNvPr>
        <xdr:cNvSpPr/>
      </xdr:nvSpPr>
      <xdr:spPr>
        <a:xfrm>
          <a:off x="2251563" y="809625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249847</xdr:colOff>
      <xdr:row>4</xdr:row>
      <xdr:rowOff>46159</xdr:rowOff>
    </xdr:from>
    <xdr:to>
      <xdr:col>9</xdr:col>
      <xdr:colOff>354622</xdr:colOff>
      <xdr:row>4</xdr:row>
      <xdr:rowOff>150934</xdr:rowOff>
    </xdr:to>
    <xdr:sp macro="" textlink="">
      <xdr:nvSpPr>
        <xdr:cNvPr id="31" name="Símbolo de &quot;Não Permitido&quot; 30">
          <a:extLst>
            <a:ext uri="{FF2B5EF4-FFF2-40B4-BE49-F238E27FC236}">
              <a16:creationId xmlns:a16="http://schemas.microsoft.com/office/drawing/2014/main" id="{9D8CB7BD-3C99-4E18-83D8-41E8C02F18EF}"/>
            </a:ext>
          </a:extLst>
        </xdr:cNvPr>
        <xdr:cNvSpPr/>
      </xdr:nvSpPr>
      <xdr:spPr>
        <a:xfrm>
          <a:off x="6485059" y="808159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248382</xdr:colOff>
      <xdr:row>4</xdr:row>
      <xdr:rowOff>44693</xdr:rowOff>
    </xdr:from>
    <xdr:to>
      <xdr:col>16</xdr:col>
      <xdr:colOff>353157</xdr:colOff>
      <xdr:row>4</xdr:row>
      <xdr:rowOff>149468</xdr:rowOff>
    </xdr:to>
    <xdr:sp macro="" textlink="">
      <xdr:nvSpPr>
        <xdr:cNvPr id="32" name="Símbolo de &quot;Não Permitido&quot; 31">
          <a:extLst>
            <a:ext uri="{FF2B5EF4-FFF2-40B4-BE49-F238E27FC236}">
              <a16:creationId xmlns:a16="http://schemas.microsoft.com/office/drawing/2014/main" id="{9A7D1CDC-4E62-4A85-901C-62CD433836EE}"/>
            </a:ext>
          </a:extLst>
        </xdr:cNvPr>
        <xdr:cNvSpPr/>
      </xdr:nvSpPr>
      <xdr:spPr>
        <a:xfrm>
          <a:off x="10740536" y="806693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261570</xdr:colOff>
      <xdr:row>4</xdr:row>
      <xdr:rowOff>50554</xdr:rowOff>
    </xdr:from>
    <xdr:to>
      <xdr:col>23</xdr:col>
      <xdr:colOff>366345</xdr:colOff>
      <xdr:row>4</xdr:row>
      <xdr:rowOff>155329</xdr:rowOff>
    </xdr:to>
    <xdr:sp macro="" textlink="">
      <xdr:nvSpPr>
        <xdr:cNvPr id="33" name="Símbolo de &quot;Não Permitido&quot; 32">
          <a:extLst>
            <a:ext uri="{FF2B5EF4-FFF2-40B4-BE49-F238E27FC236}">
              <a16:creationId xmlns:a16="http://schemas.microsoft.com/office/drawing/2014/main" id="{842CF126-BC1D-4651-A73D-3B7850A1D6C7}"/>
            </a:ext>
          </a:extLst>
        </xdr:cNvPr>
        <xdr:cNvSpPr/>
      </xdr:nvSpPr>
      <xdr:spPr>
        <a:xfrm>
          <a:off x="15061955" y="812554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252778</xdr:colOff>
      <xdr:row>4</xdr:row>
      <xdr:rowOff>49088</xdr:rowOff>
    </xdr:from>
    <xdr:to>
      <xdr:col>30</xdr:col>
      <xdr:colOff>357553</xdr:colOff>
      <xdr:row>4</xdr:row>
      <xdr:rowOff>153863</xdr:rowOff>
    </xdr:to>
    <xdr:sp macro="" textlink="">
      <xdr:nvSpPr>
        <xdr:cNvPr id="34" name="Símbolo de &quot;Não Permitido&quot; 33">
          <a:extLst>
            <a:ext uri="{FF2B5EF4-FFF2-40B4-BE49-F238E27FC236}">
              <a16:creationId xmlns:a16="http://schemas.microsoft.com/office/drawing/2014/main" id="{CED2DB10-606E-4F6D-B423-C1A36CDF631A}"/>
            </a:ext>
          </a:extLst>
        </xdr:cNvPr>
        <xdr:cNvSpPr/>
      </xdr:nvSpPr>
      <xdr:spPr>
        <a:xfrm>
          <a:off x="19310105" y="811088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277468</xdr:colOff>
      <xdr:row>11</xdr:row>
      <xdr:rowOff>38100</xdr:rowOff>
    </xdr:from>
    <xdr:to>
      <xdr:col>6</xdr:col>
      <xdr:colOff>382243</xdr:colOff>
      <xdr:row>11</xdr:row>
      <xdr:rowOff>142875</xdr:rowOff>
    </xdr:to>
    <xdr:sp macro="" textlink="">
      <xdr:nvSpPr>
        <xdr:cNvPr id="3" name="Símbolo de &quot;Não Permitido&quot; 2">
          <a:extLst>
            <a:ext uri="{FF2B5EF4-FFF2-40B4-BE49-F238E27FC236}">
              <a16:creationId xmlns:a16="http://schemas.microsoft.com/office/drawing/2014/main" id="{4C46BF7D-372C-4D9D-BA6C-89E2BEDE6143}"/>
            </a:ext>
          </a:extLst>
        </xdr:cNvPr>
        <xdr:cNvSpPr/>
      </xdr:nvSpPr>
      <xdr:spPr>
        <a:xfrm>
          <a:off x="3954946" y="1562100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258418</xdr:colOff>
      <xdr:row>7</xdr:row>
      <xdr:rowOff>47625</xdr:rowOff>
    </xdr:from>
    <xdr:to>
      <xdr:col>6</xdr:col>
      <xdr:colOff>363193</xdr:colOff>
      <xdr:row>7</xdr:row>
      <xdr:rowOff>152400</xdr:rowOff>
    </xdr:to>
    <xdr:sp macro="" textlink="">
      <xdr:nvSpPr>
        <xdr:cNvPr id="4" name="Símbolo de &quot;Não Permitido&quot; 3">
          <a:extLst>
            <a:ext uri="{FF2B5EF4-FFF2-40B4-BE49-F238E27FC236}">
              <a16:creationId xmlns:a16="http://schemas.microsoft.com/office/drawing/2014/main" id="{179E0ABA-A06F-4B83-870A-C0E48E953F3C}"/>
            </a:ext>
          </a:extLst>
        </xdr:cNvPr>
        <xdr:cNvSpPr/>
      </xdr:nvSpPr>
      <xdr:spPr>
        <a:xfrm>
          <a:off x="3935896" y="1190625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263180</xdr:colOff>
      <xdr:row>3</xdr:row>
      <xdr:rowOff>47625</xdr:rowOff>
    </xdr:from>
    <xdr:to>
      <xdr:col>6</xdr:col>
      <xdr:colOff>367955</xdr:colOff>
      <xdr:row>3</xdr:row>
      <xdr:rowOff>152400</xdr:rowOff>
    </xdr:to>
    <xdr:sp macro="" textlink="">
      <xdr:nvSpPr>
        <xdr:cNvPr id="7" name="Símbolo de &quot;Não Permitido&quot; 6">
          <a:extLst>
            <a:ext uri="{FF2B5EF4-FFF2-40B4-BE49-F238E27FC236}">
              <a16:creationId xmlns:a16="http://schemas.microsoft.com/office/drawing/2014/main" id="{978A9B43-067F-4B42-9EB0-722D85986BB0}"/>
            </a:ext>
          </a:extLst>
        </xdr:cNvPr>
        <xdr:cNvSpPr/>
      </xdr:nvSpPr>
      <xdr:spPr>
        <a:xfrm>
          <a:off x="3940658" y="619125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272705</xdr:colOff>
      <xdr:row>10</xdr:row>
      <xdr:rowOff>47625</xdr:rowOff>
    </xdr:from>
    <xdr:to>
      <xdr:col>6</xdr:col>
      <xdr:colOff>377480</xdr:colOff>
      <xdr:row>10</xdr:row>
      <xdr:rowOff>152400</xdr:rowOff>
    </xdr:to>
    <xdr:sp macro="" textlink="">
      <xdr:nvSpPr>
        <xdr:cNvPr id="8" name="Símbolo de &quot;Não Permitido&quot; 7">
          <a:extLst>
            <a:ext uri="{FF2B5EF4-FFF2-40B4-BE49-F238E27FC236}">
              <a16:creationId xmlns:a16="http://schemas.microsoft.com/office/drawing/2014/main" id="{E153920C-482D-4967-96C9-B2D54F470015}"/>
            </a:ext>
          </a:extLst>
        </xdr:cNvPr>
        <xdr:cNvSpPr/>
      </xdr:nvSpPr>
      <xdr:spPr>
        <a:xfrm>
          <a:off x="3950183" y="1381125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263180</xdr:colOff>
      <xdr:row>5</xdr:row>
      <xdr:rowOff>47625</xdr:rowOff>
    </xdr:from>
    <xdr:to>
      <xdr:col>6</xdr:col>
      <xdr:colOff>367955</xdr:colOff>
      <xdr:row>5</xdr:row>
      <xdr:rowOff>152400</xdr:rowOff>
    </xdr:to>
    <xdr:sp macro="" textlink="">
      <xdr:nvSpPr>
        <xdr:cNvPr id="9" name="Símbolo de &quot;Não Permitido&quot; 8">
          <a:extLst>
            <a:ext uri="{FF2B5EF4-FFF2-40B4-BE49-F238E27FC236}">
              <a16:creationId xmlns:a16="http://schemas.microsoft.com/office/drawing/2014/main" id="{23AA4F3E-A4B7-4AD9-90B2-F3BFF1E5614D}"/>
            </a:ext>
          </a:extLst>
        </xdr:cNvPr>
        <xdr:cNvSpPr/>
      </xdr:nvSpPr>
      <xdr:spPr>
        <a:xfrm>
          <a:off x="3940658" y="1000125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276069</xdr:colOff>
      <xdr:row>5</xdr:row>
      <xdr:rowOff>45243</xdr:rowOff>
    </xdr:from>
    <xdr:to>
      <xdr:col>13</xdr:col>
      <xdr:colOff>380844</xdr:colOff>
      <xdr:row>5</xdr:row>
      <xdr:rowOff>150018</xdr:rowOff>
    </xdr:to>
    <xdr:sp macro="" textlink="">
      <xdr:nvSpPr>
        <xdr:cNvPr id="10" name="Símbolo de &quot;Não Permitido&quot; 9">
          <a:extLst>
            <a:ext uri="{FF2B5EF4-FFF2-40B4-BE49-F238E27FC236}">
              <a16:creationId xmlns:a16="http://schemas.microsoft.com/office/drawing/2014/main" id="{DA06C0D8-FA8F-4C30-8B79-4AEBEA4DDD49}"/>
            </a:ext>
          </a:extLst>
        </xdr:cNvPr>
        <xdr:cNvSpPr/>
      </xdr:nvSpPr>
      <xdr:spPr>
        <a:xfrm>
          <a:off x="8243939" y="997743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285594</xdr:colOff>
      <xdr:row>11</xdr:row>
      <xdr:rowOff>45243</xdr:rowOff>
    </xdr:from>
    <xdr:to>
      <xdr:col>13</xdr:col>
      <xdr:colOff>390369</xdr:colOff>
      <xdr:row>11</xdr:row>
      <xdr:rowOff>150018</xdr:rowOff>
    </xdr:to>
    <xdr:sp macro="" textlink="">
      <xdr:nvSpPr>
        <xdr:cNvPr id="11" name="Símbolo de &quot;Não Permitido&quot; 10">
          <a:extLst>
            <a:ext uri="{FF2B5EF4-FFF2-40B4-BE49-F238E27FC236}">
              <a16:creationId xmlns:a16="http://schemas.microsoft.com/office/drawing/2014/main" id="{FC718405-796A-400B-BB26-EE232A1AF3F0}"/>
            </a:ext>
          </a:extLst>
        </xdr:cNvPr>
        <xdr:cNvSpPr/>
      </xdr:nvSpPr>
      <xdr:spPr>
        <a:xfrm>
          <a:off x="8253464" y="1569243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276069</xdr:colOff>
      <xdr:row>7</xdr:row>
      <xdr:rowOff>45243</xdr:rowOff>
    </xdr:from>
    <xdr:to>
      <xdr:col>13</xdr:col>
      <xdr:colOff>380844</xdr:colOff>
      <xdr:row>7</xdr:row>
      <xdr:rowOff>150018</xdr:rowOff>
    </xdr:to>
    <xdr:sp macro="" textlink="">
      <xdr:nvSpPr>
        <xdr:cNvPr id="12" name="Símbolo de &quot;Não Permitido&quot; 11">
          <a:extLst>
            <a:ext uri="{FF2B5EF4-FFF2-40B4-BE49-F238E27FC236}">
              <a16:creationId xmlns:a16="http://schemas.microsoft.com/office/drawing/2014/main" id="{F54B0CF2-5974-44DB-B4E5-74DA8EBE80E9}"/>
            </a:ext>
          </a:extLst>
        </xdr:cNvPr>
        <xdr:cNvSpPr/>
      </xdr:nvSpPr>
      <xdr:spPr>
        <a:xfrm>
          <a:off x="8243939" y="1188243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270116</xdr:colOff>
      <xdr:row>3</xdr:row>
      <xdr:rowOff>51197</xdr:rowOff>
    </xdr:from>
    <xdr:to>
      <xdr:col>13</xdr:col>
      <xdr:colOff>374891</xdr:colOff>
      <xdr:row>3</xdr:row>
      <xdr:rowOff>155972</xdr:rowOff>
    </xdr:to>
    <xdr:sp macro="" textlink="">
      <xdr:nvSpPr>
        <xdr:cNvPr id="13" name="Símbolo de &quot;Não Permitido&quot; 12">
          <a:extLst>
            <a:ext uri="{FF2B5EF4-FFF2-40B4-BE49-F238E27FC236}">
              <a16:creationId xmlns:a16="http://schemas.microsoft.com/office/drawing/2014/main" id="{C0FB9D50-D319-4CD3-B800-74F194C0B1B6}"/>
            </a:ext>
          </a:extLst>
        </xdr:cNvPr>
        <xdr:cNvSpPr/>
      </xdr:nvSpPr>
      <xdr:spPr>
        <a:xfrm>
          <a:off x="8237986" y="622697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279641</xdr:colOff>
      <xdr:row>10</xdr:row>
      <xdr:rowOff>51197</xdr:rowOff>
    </xdr:from>
    <xdr:to>
      <xdr:col>13</xdr:col>
      <xdr:colOff>384416</xdr:colOff>
      <xdr:row>10</xdr:row>
      <xdr:rowOff>155972</xdr:rowOff>
    </xdr:to>
    <xdr:sp macro="" textlink="">
      <xdr:nvSpPr>
        <xdr:cNvPr id="14" name="Símbolo de &quot;Não Permitido&quot; 13">
          <a:extLst>
            <a:ext uri="{FF2B5EF4-FFF2-40B4-BE49-F238E27FC236}">
              <a16:creationId xmlns:a16="http://schemas.microsoft.com/office/drawing/2014/main" id="{8298245F-9780-474C-84DE-1DEF5EA20F82}"/>
            </a:ext>
          </a:extLst>
        </xdr:cNvPr>
        <xdr:cNvSpPr/>
      </xdr:nvSpPr>
      <xdr:spPr>
        <a:xfrm>
          <a:off x="8247511" y="1384697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257685</xdr:colOff>
      <xdr:row>4</xdr:row>
      <xdr:rowOff>47625</xdr:rowOff>
    </xdr:from>
    <xdr:to>
      <xdr:col>6</xdr:col>
      <xdr:colOff>362460</xdr:colOff>
      <xdr:row>4</xdr:row>
      <xdr:rowOff>152400</xdr:rowOff>
    </xdr:to>
    <xdr:sp macro="" textlink="">
      <xdr:nvSpPr>
        <xdr:cNvPr id="30" name="Símbolo de &quot;Não Permitido&quot; 29">
          <a:extLst>
            <a:ext uri="{FF2B5EF4-FFF2-40B4-BE49-F238E27FC236}">
              <a16:creationId xmlns:a16="http://schemas.microsoft.com/office/drawing/2014/main" id="{3EBB125F-0300-4937-AF03-7BDB4BC92FD1}"/>
            </a:ext>
          </a:extLst>
        </xdr:cNvPr>
        <xdr:cNvSpPr/>
      </xdr:nvSpPr>
      <xdr:spPr>
        <a:xfrm>
          <a:off x="3935163" y="809625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274694</xdr:colOff>
      <xdr:row>4</xdr:row>
      <xdr:rowOff>46159</xdr:rowOff>
    </xdr:from>
    <xdr:to>
      <xdr:col>13</xdr:col>
      <xdr:colOff>379469</xdr:colOff>
      <xdr:row>4</xdr:row>
      <xdr:rowOff>150934</xdr:rowOff>
    </xdr:to>
    <xdr:sp macro="" textlink="">
      <xdr:nvSpPr>
        <xdr:cNvPr id="31" name="Símbolo de &quot;Não Permitido&quot; 30">
          <a:extLst>
            <a:ext uri="{FF2B5EF4-FFF2-40B4-BE49-F238E27FC236}">
              <a16:creationId xmlns:a16="http://schemas.microsoft.com/office/drawing/2014/main" id="{359770CF-8EDD-43C7-A155-0ACB372300BB}"/>
            </a:ext>
          </a:extLst>
        </xdr:cNvPr>
        <xdr:cNvSpPr/>
      </xdr:nvSpPr>
      <xdr:spPr>
        <a:xfrm>
          <a:off x="8242564" y="808159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275811</xdr:colOff>
      <xdr:row>11</xdr:row>
      <xdr:rowOff>61291</xdr:rowOff>
    </xdr:from>
    <xdr:to>
      <xdr:col>20</xdr:col>
      <xdr:colOff>380586</xdr:colOff>
      <xdr:row>11</xdr:row>
      <xdr:rowOff>166066</xdr:rowOff>
    </xdr:to>
    <xdr:sp macro="" textlink="">
      <xdr:nvSpPr>
        <xdr:cNvPr id="41" name="Símbolo de &quot;Não Permitido&quot; 40">
          <a:extLst>
            <a:ext uri="{FF2B5EF4-FFF2-40B4-BE49-F238E27FC236}">
              <a16:creationId xmlns:a16="http://schemas.microsoft.com/office/drawing/2014/main" id="{9AA628C2-EC9F-48E5-9818-270CA1BF236F}"/>
            </a:ext>
          </a:extLst>
        </xdr:cNvPr>
        <xdr:cNvSpPr/>
      </xdr:nvSpPr>
      <xdr:spPr>
        <a:xfrm>
          <a:off x="12534072" y="1585291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256761</xdr:colOff>
      <xdr:row>7</xdr:row>
      <xdr:rowOff>70816</xdr:rowOff>
    </xdr:from>
    <xdr:to>
      <xdr:col>20</xdr:col>
      <xdr:colOff>361536</xdr:colOff>
      <xdr:row>7</xdr:row>
      <xdr:rowOff>175591</xdr:rowOff>
    </xdr:to>
    <xdr:sp macro="" textlink="">
      <xdr:nvSpPr>
        <xdr:cNvPr id="42" name="Símbolo de &quot;Não Permitido&quot; 41">
          <a:extLst>
            <a:ext uri="{FF2B5EF4-FFF2-40B4-BE49-F238E27FC236}">
              <a16:creationId xmlns:a16="http://schemas.microsoft.com/office/drawing/2014/main" id="{6787A095-2A37-48DF-860D-50799EF370BB}"/>
            </a:ext>
          </a:extLst>
        </xdr:cNvPr>
        <xdr:cNvSpPr/>
      </xdr:nvSpPr>
      <xdr:spPr>
        <a:xfrm>
          <a:off x="12515022" y="1213816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261523</xdr:colOff>
      <xdr:row>3</xdr:row>
      <xdr:rowOff>70816</xdr:rowOff>
    </xdr:from>
    <xdr:to>
      <xdr:col>20</xdr:col>
      <xdr:colOff>366298</xdr:colOff>
      <xdr:row>3</xdr:row>
      <xdr:rowOff>175591</xdr:rowOff>
    </xdr:to>
    <xdr:sp macro="" textlink="">
      <xdr:nvSpPr>
        <xdr:cNvPr id="43" name="Símbolo de &quot;Não Permitido&quot; 42">
          <a:extLst>
            <a:ext uri="{FF2B5EF4-FFF2-40B4-BE49-F238E27FC236}">
              <a16:creationId xmlns:a16="http://schemas.microsoft.com/office/drawing/2014/main" id="{9489A482-AA1F-48BD-B77E-ACF25F6FD574}"/>
            </a:ext>
          </a:extLst>
        </xdr:cNvPr>
        <xdr:cNvSpPr/>
      </xdr:nvSpPr>
      <xdr:spPr>
        <a:xfrm>
          <a:off x="12519784" y="642316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271048</xdr:colOff>
      <xdr:row>10</xdr:row>
      <xdr:rowOff>70816</xdr:rowOff>
    </xdr:from>
    <xdr:to>
      <xdr:col>20</xdr:col>
      <xdr:colOff>375823</xdr:colOff>
      <xdr:row>10</xdr:row>
      <xdr:rowOff>175591</xdr:rowOff>
    </xdr:to>
    <xdr:sp macro="" textlink="">
      <xdr:nvSpPr>
        <xdr:cNvPr id="44" name="Símbolo de &quot;Não Permitido&quot; 43">
          <a:extLst>
            <a:ext uri="{FF2B5EF4-FFF2-40B4-BE49-F238E27FC236}">
              <a16:creationId xmlns:a16="http://schemas.microsoft.com/office/drawing/2014/main" id="{E3771D86-4694-46F5-B855-4353C1B55A03}"/>
            </a:ext>
          </a:extLst>
        </xdr:cNvPr>
        <xdr:cNvSpPr/>
      </xdr:nvSpPr>
      <xdr:spPr>
        <a:xfrm>
          <a:off x="12529309" y="1404316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261523</xdr:colOff>
      <xdr:row>5</xdr:row>
      <xdr:rowOff>70816</xdr:rowOff>
    </xdr:from>
    <xdr:to>
      <xdr:col>20</xdr:col>
      <xdr:colOff>366298</xdr:colOff>
      <xdr:row>5</xdr:row>
      <xdr:rowOff>175591</xdr:rowOff>
    </xdr:to>
    <xdr:sp macro="" textlink="">
      <xdr:nvSpPr>
        <xdr:cNvPr id="45" name="Símbolo de &quot;Não Permitido&quot; 44">
          <a:extLst>
            <a:ext uri="{FF2B5EF4-FFF2-40B4-BE49-F238E27FC236}">
              <a16:creationId xmlns:a16="http://schemas.microsoft.com/office/drawing/2014/main" id="{4159C093-C12D-4F3F-AEB5-E806D1C53A20}"/>
            </a:ext>
          </a:extLst>
        </xdr:cNvPr>
        <xdr:cNvSpPr/>
      </xdr:nvSpPr>
      <xdr:spPr>
        <a:xfrm>
          <a:off x="12519784" y="1023316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256028</xdr:colOff>
      <xdr:row>4</xdr:row>
      <xdr:rowOff>70816</xdr:rowOff>
    </xdr:from>
    <xdr:to>
      <xdr:col>20</xdr:col>
      <xdr:colOff>360803</xdr:colOff>
      <xdr:row>4</xdr:row>
      <xdr:rowOff>175591</xdr:rowOff>
    </xdr:to>
    <xdr:sp macro="" textlink="">
      <xdr:nvSpPr>
        <xdr:cNvPr id="46" name="Símbolo de &quot;Não Permitido&quot; 45">
          <a:extLst>
            <a:ext uri="{FF2B5EF4-FFF2-40B4-BE49-F238E27FC236}">
              <a16:creationId xmlns:a16="http://schemas.microsoft.com/office/drawing/2014/main" id="{3C08044F-9D41-4CFE-8BB4-FDAA1972B3DA}"/>
            </a:ext>
          </a:extLst>
        </xdr:cNvPr>
        <xdr:cNvSpPr/>
      </xdr:nvSpPr>
      <xdr:spPr>
        <a:xfrm>
          <a:off x="12514289" y="832816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303973</xdr:colOff>
      <xdr:row>11</xdr:row>
      <xdr:rowOff>48039</xdr:rowOff>
    </xdr:from>
    <xdr:to>
      <xdr:col>27</xdr:col>
      <xdr:colOff>408748</xdr:colOff>
      <xdr:row>11</xdr:row>
      <xdr:rowOff>152814</xdr:rowOff>
    </xdr:to>
    <xdr:sp macro="" textlink="">
      <xdr:nvSpPr>
        <xdr:cNvPr id="47" name="Símbolo de &quot;Não Permitido&quot; 46">
          <a:extLst>
            <a:ext uri="{FF2B5EF4-FFF2-40B4-BE49-F238E27FC236}">
              <a16:creationId xmlns:a16="http://schemas.microsoft.com/office/drawing/2014/main" id="{E1EC356C-CB94-4A87-8B6E-913E35687568}"/>
            </a:ext>
          </a:extLst>
        </xdr:cNvPr>
        <xdr:cNvSpPr/>
      </xdr:nvSpPr>
      <xdr:spPr>
        <a:xfrm>
          <a:off x="16852625" y="1572039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284923</xdr:colOff>
      <xdr:row>7</xdr:row>
      <xdr:rowOff>57564</xdr:rowOff>
    </xdr:from>
    <xdr:to>
      <xdr:col>27</xdr:col>
      <xdr:colOff>389698</xdr:colOff>
      <xdr:row>7</xdr:row>
      <xdr:rowOff>162339</xdr:rowOff>
    </xdr:to>
    <xdr:sp macro="" textlink="">
      <xdr:nvSpPr>
        <xdr:cNvPr id="48" name="Símbolo de &quot;Não Permitido&quot; 47">
          <a:extLst>
            <a:ext uri="{FF2B5EF4-FFF2-40B4-BE49-F238E27FC236}">
              <a16:creationId xmlns:a16="http://schemas.microsoft.com/office/drawing/2014/main" id="{1137463C-4C49-48D2-9880-C7584BFD02BB}"/>
            </a:ext>
          </a:extLst>
        </xdr:cNvPr>
        <xdr:cNvSpPr/>
      </xdr:nvSpPr>
      <xdr:spPr>
        <a:xfrm>
          <a:off x="16833575" y="1200564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289685</xdr:colOff>
      <xdr:row>3</xdr:row>
      <xdr:rowOff>57564</xdr:rowOff>
    </xdr:from>
    <xdr:to>
      <xdr:col>27</xdr:col>
      <xdr:colOff>394460</xdr:colOff>
      <xdr:row>3</xdr:row>
      <xdr:rowOff>162339</xdr:rowOff>
    </xdr:to>
    <xdr:sp macro="" textlink="">
      <xdr:nvSpPr>
        <xdr:cNvPr id="49" name="Símbolo de &quot;Não Permitido&quot; 48">
          <a:extLst>
            <a:ext uri="{FF2B5EF4-FFF2-40B4-BE49-F238E27FC236}">
              <a16:creationId xmlns:a16="http://schemas.microsoft.com/office/drawing/2014/main" id="{139B719F-42AA-4EFB-8E96-39980D1126FA}"/>
            </a:ext>
          </a:extLst>
        </xdr:cNvPr>
        <xdr:cNvSpPr/>
      </xdr:nvSpPr>
      <xdr:spPr>
        <a:xfrm>
          <a:off x="16838337" y="629064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299210</xdr:colOff>
      <xdr:row>10</xdr:row>
      <xdr:rowOff>57564</xdr:rowOff>
    </xdr:from>
    <xdr:to>
      <xdr:col>27</xdr:col>
      <xdr:colOff>403985</xdr:colOff>
      <xdr:row>10</xdr:row>
      <xdr:rowOff>162339</xdr:rowOff>
    </xdr:to>
    <xdr:sp macro="" textlink="">
      <xdr:nvSpPr>
        <xdr:cNvPr id="50" name="Símbolo de &quot;Não Permitido&quot; 49">
          <a:extLst>
            <a:ext uri="{FF2B5EF4-FFF2-40B4-BE49-F238E27FC236}">
              <a16:creationId xmlns:a16="http://schemas.microsoft.com/office/drawing/2014/main" id="{0819C25C-9A52-4CD1-8563-AA2150BEBFCD}"/>
            </a:ext>
          </a:extLst>
        </xdr:cNvPr>
        <xdr:cNvSpPr/>
      </xdr:nvSpPr>
      <xdr:spPr>
        <a:xfrm>
          <a:off x="16847862" y="1391064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289685</xdr:colOff>
      <xdr:row>5</xdr:row>
      <xdr:rowOff>57564</xdr:rowOff>
    </xdr:from>
    <xdr:to>
      <xdr:col>27</xdr:col>
      <xdr:colOff>394460</xdr:colOff>
      <xdr:row>5</xdr:row>
      <xdr:rowOff>162339</xdr:rowOff>
    </xdr:to>
    <xdr:sp macro="" textlink="">
      <xdr:nvSpPr>
        <xdr:cNvPr id="51" name="Símbolo de &quot;Não Permitido&quot; 50">
          <a:extLst>
            <a:ext uri="{FF2B5EF4-FFF2-40B4-BE49-F238E27FC236}">
              <a16:creationId xmlns:a16="http://schemas.microsoft.com/office/drawing/2014/main" id="{FF1F996E-20CE-4C6E-9A5B-C3196BED8734}"/>
            </a:ext>
          </a:extLst>
        </xdr:cNvPr>
        <xdr:cNvSpPr/>
      </xdr:nvSpPr>
      <xdr:spPr>
        <a:xfrm>
          <a:off x="16838337" y="1010064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284190</xdr:colOff>
      <xdr:row>4</xdr:row>
      <xdr:rowOff>57564</xdr:rowOff>
    </xdr:from>
    <xdr:to>
      <xdr:col>27</xdr:col>
      <xdr:colOff>388965</xdr:colOff>
      <xdr:row>4</xdr:row>
      <xdr:rowOff>162339</xdr:rowOff>
    </xdr:to>
    <xdr:sp macro="" textlink="">
      <xdr:nvSpPr>
        <xdr:cNvPr id="52" name="Símbolo de &quot;Não Permitido&quot; 51">
          <a:extLst>
            <a:ext uri="{FF2B5EF4-FFF2-40B4-BE49-F238E27FC236}">
              <a16:creationId xmlns:a16="http://schemas.microsoft.com/office/drawing/2014/main" id="{F97840DF-2261-4DC9-A6A4-EBCBE678F973}"/>
            </a:ext>
          </a:extLst>
        </xdr:cNvPr>
        <xdr:cNvSpPr/>
      </xdr:nvSpPr>
      <xdr:spPr>
        <a:xfrm>
          <a:off x="16832842" y="819564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254897</xdr:colOff>
      <xdr:row>6</xdr:row>
      <xdr:rowOff>47625</xdr:rowOff>
    </xdr:from>
    <xdr:to>
      <xdr:col>6</xdr:col>
      <xdr:colOff>359672</xdr:colOff>
      <xdr:row>6</xdr:row>
      <xdr:rowOff>152400</xdr:rowOff>
    </xdr:to>
    <xdr:sp macro="" textlink="">
      <xdr:nvSpPr>
        <xdr:cNvPr id="26" name="Símbolo de &quot;Não Permitido&quot; 25">
          <a:extLst>
            <a:ext uri="{FF2B5EF4-FFF2-40B4-BE49-F238E27FC236}">
              <a16:creationId xmlns:a16="http://schemas.microsoft.com/office/drawing/2014/main" id="{7C5BF6FA-15BD-45C9-8929-8E7C11C3BB96}"/>
            </a:ext>
          </a:extLst>
        </xdr:cNvPr>
        <xdr:cNvSpPr/>
      </xdr:nvSpPr>
      <xdr:spPr>
        <a:xfrm>
          <a:off x="4379636" y="1190625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266493</xdr:colOff>
      <xdr:row>6</xdr:row>
      <xdr:rowOff>42656</xdr:rowOff>
    </xdr:from>
    <xdr:to>
      <xdr:col>13</xdr:col>
      <xdr:colOff>371268</xdr:colOff>
      <xdr:row>6</xdr:row>
      <xdr:rowOff>147431</xdr:rowOff>
    </xdr:to>
    <xdr:sp macro="" textlink="">
      <xdr:nvSpPr>
        <xdr:cNvPr id="27" name="Símbolo de &quot;Não Permitido&quot; 26">
          <a:extLst>
            <a:ext uri="{FF2B5EF4-FFF2-40B4-BE49-F238E27FC236}">
              <a16:creationId xmlns:a16="http://schemas.microsoft.com/office/drawing/2014/main" id="{2F7C10AD-E827-498B-ABC3-620E86997368}"/>
            </a:ext>
          </a:extLst>
        </xdr:cNvPr>
        <xdr:cNvSpPr/>
      </xdr:nvSpPr>
      <xdr:spPr>
        <a:xfrm>
          <a:off x="8681623" y="1185656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269806</xdr:colOff>
      <xdr:row>6</xdr:row>
      <xdr:rowOff>45969</xdr:rowOff>
    </xdr:from>
    <xdr:to>
      <xdr:col>20</xdr:col>
      <xdr:colOff>374581</xdr:colOff>
      <xdr:row>6</xdr:row>
      <xdr:rowOff>150744</xdr:rowOff>
    </xdr:to>
    <xdr:sp macro="" textlink="">
      <xdr:nvSpPr>
        <xdr:cNvPr id="28" name="Símbolo de &quot;Não Permitido&quot; 27">
          <a:extLst>
            <a:ext uri="{FF2B5EF4-FFF2-40B4-BE49-F238E27FC236}">
              <a16:creationId xmlns:a16="http://schemas.microsoft.com/office/drawing/2014/main" id="{6B2D3407-8B3D-456D-A47E-C84C95371EE9}"/>
            </a:ext>
          </a:extLst>
        </xdr:cNvPr>
        <xdr:cNvSpPr/>
      </xdr:nvSpPr>
      <xdr:spPr>
        <a:xfrm>
          <a:off x="12975328" y="1188969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256761</xdr:colOff>
      <xdr:row>8</xdr:row>
      <xdr:rowOff>62533</xdr:rowOff>
    </xdr:from>
    <xdr:to>
      <xdr:col>20</xdr:col>
      <xdr:colOff>361536</xdr:colOff>
      <xdr:row>8</xdr:row>
      <xdr:rowOff>167308</xdr:rowOff>
    </xdr:to>
    <xdr:sp macro="" textlink="">
      <xdr:nvSpPr>
        <xdr:cNvPr id="29" name="Símbolo de &quot;Não Permitido&quot; 28">
          <a:extLst>
            <a:ext uri="{FF2B5EF4-FFF2-40B4-BE49-F238E27FC236}">
              <a16:creationId xmlns:a16="http://schemas.microsoft.com/office/drawing/2014/main" id="{3D80C6DE-A3E4-4E47-9557-F54B33CD295A}"/>
            </a:ext>
          </a:extLst>
        </xdr:cNvPr>
        <xdr:cNvSpPr/>
      </xdr:nvSpPr>
      <xdr:spPr>
        <a:xfrm>
          <a:off x="13682870" y="1586533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252621</xdr:colOff>
      <xdr:row>12</xdr:row>
      <xdr:rowOff>38100</xdr:rowOff>
    </xdr:from>
    <xdr:to>
      <xdr:col>4</xdr:col>
      <xdr:colOff>357396</xdr:colOff>
      <xdr:row>12</xdr:row>
      <xdr:rowOff>142875</xdr:rowOff>
    </xdr:to>
    <xdr:sp macro="" textlink="">
      <xdr:nvSpPr>
        <xdr:cNvPr id="2" name="Símbolo de &quot;Não Permitido&quot; 1">
          <a:extLst>
            <a:ext uri="{FF2B5EF4-FFF2-40B4-BE49-F238E27FC236}">
              <a16:creationId xmlns:a16="http://schemas.microsoft.com/office/drawing/2014/main" id="{A1FE7C83-317A-4671-B354-5EEF61BA0791}"/>
            </a:ext>
          </a:extLst>
        </xdr:cNvPr>
        <xdr:cNvSpPr/>
      </xdr:nvSpPr>
      <xdr:spPr>
        <a:xfrm>
          <a:off x="3872121" y="2133600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233571</xdr:colOff>
      <xdr:row>8</xdr:row>
      <xdr:rowOff>47625</xdr:rowOff>
    </xdr:from>
    <xdr:to>
      <xdr:col>4</xdr:col>
      <xdr:colOff>338346</xdr:colOff>
      <xdr:row>8</xdr:row>
      <xdr:rowOff>152400</xdr:rowOff>
    </xdr:to>
    <xdr:sp macro="" textlink="">
      <xdr:nvSpPr>
        <xdr:cNvPr id="3" name="Símbolo de &quot;Não Permitido&quot; 2">
          <a:extLst>
            <a:ext uri="{FF2B5EF4-FFF2-40B4-BE49-F238E27FC236}">
              <a16:creationId xmlns:a16="http://schemas.microsoft.com/office/drawing/2014/main" id="{EA779082-80AD-40F1-8EC9-F6B9EFBEEE71}"/>
            </a:ext>
          </a:extLst>
        </xdr:cNvPr>
        <xdr:cNvSpPr/>
      </xdr:nvSpPr>
      <xdr:spPr>
        <a:xfrm>
          <a:off x="3853071" y="1381125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238333</xdr:colOff>
      <xdr:row>3</xdr:row>
      <xdr:rowOff>47625</xdr:rowOff>
    </xdr:from>
    <xdr:to>
      <xdr:col>4</xdr:col>
      <xdr:colOff>343108</xdr:colOff>
      <xdr:row>3</xdr:row>
      <xdr:rowOff>152400</xdr:rowOff>
    </xdr:to>
    <xdr:sp macro="" textlink="">
      <xdr:nvSpPr>
        <xdr:cNvPr id="4" name="Símbolo de &quot;Não Permitido&quot; 3">
          <a:extLst>
            <a:ext uri="{FF2B5EF4-FFF2-40B4-BE49-F238E27FC236}">
              <a16:creationId xmlns:a16="http://schemas.microsoft.com/office/drawing/2014/main" id="{14C68F45-6D18-4461-BF69-3A8E00C4D406}"/>
            </a:ext>
          </a:extLst>
        </xdr:cNvPr>
        <xdr:cNvSpPr/>
      </xdr:nvSpPr>
      <xdr:spPr>
        <a:xfrm>
          <a:off x="3857833" y="619125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247858</xdr:colOff>
      <xdr:row>11</xdr:row>
      <xdr:rowOff>47625</xdr:rowOff>
    </xdr:from>
    <xdr:to>
      <xdr:col>4</xdr:col>
      <xdr:colOff>352633</xdr:colOff>
      <xdr:row>11</xdr:row>
      <xdr:rowOff>152400</xdr:rowOff>
    </xdr:to>
    <xdr:sp macro="" textlink="">
      <xdr:nvSpPr>
        <xdr:cNvPr id="5" name="Símbolo de &quot;Não Permitido&quot; 4">
          <a:extLst>
            <a:ext uri="{FF2B5EF4-FFF2-40B4-BE49-F238E27FC236}">
              <a16:creationId xmlns:a16="http://schemas.microsoft.com/office/drawing/2014/main" id="{7002A3E0-F581-4864-BCEB-DB555757BB48}"/>
            </a:ext>
          </a:extLst>
        </xdr:cNvPr>
        <xdr:cNvSpPr/>
      </xdr:nvSpPr>
      <xdr:spPr>
        <a:xfrm>
          <a:off x="3867358" y="1952625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238333</xdr:colOff>
      <xdr:row>5</xdr:row>
      <xdr:rowOff>40298</xdr:rowOff>
    </xdr:from>
    <xdr:to>
      <xdr:col>4</xdr:col>
      <xdr:colOff>343108</xdr:colOff>
      <xdr:row>5</xdr:row>
      <xdr:rowOff>145073</xdr:rowOff>
    </xdr:to>
    <xdr:sp macro="" textlink="">
      <xdr:nvSpPr>
        <xdr:cNvPr id="6" name="Símbolo de &quot;Não Permitido&quot; 5">
          <a:extLst>
            <a:ext uri="{FF2B5EF4-FFF2-40B4-BE49-F238E27FC236}">
              <a16:creationId xmlns:a16="http://schemas.microsoft.com/office/drawing/2014/main" id="{9F2B72C6-AD96-463D-9B5D-FEF4E791AE91}"/>
            </a:ext>
          </a:extLst>
        </xdr:cNvPr>
        <xdr:cNvSpPr/>
      </xdr:nvSpPr>
      <xdr:spPr>
        <a:xfrm>
          <a:off x="3843179" y="992798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232838</xdr:colOff>
      <xdr:row>4</xdr:row>
      <xdr:rowOff>47625</xdr:rowOff>
    </xdr:from>
    <xdr:to>
      <xdr:col>4</xdr:col>
      <xdr:colOff>337613</xdr:colOff>
      <xdr:row>4</xdr:row>
      <xdr:rowOff>152400</xdr:rowOff>
    </xdr:to>
    <xdr:sp macro="" textlink="">
      <xdr:nvSpPr>
        <xdr:cNvPr id="12" name="Símbolo de &quot;Não Permitido&quot; 11">
          <a:extLst>
            <a:ext uri="{FF2B5EF4-FFF2-40B4-BE49-F238E27FC236}">
              <a16:creationId xmlns:a16="http://schemas.microsoft.com/office/drawing/2014/main" id="{D31F5258-D757-4BB9-B8B6-920EBBBD6A4C}"/>
            </a:ext>
          </a:extLst>
        </xdr:cNvPr>
        <xdr:cNvSpPr/>
      </xdr:nvSpPr>
      <xdr:spPr>
        <a:xfrm>
          <a:off x="3852338" y="809625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230050</xdr:colOff>
      <xdr:row>7</xdr:row>
      <xdr:rowOff>47625</xdr:rowOff>
    </xdr:from>
    <xdr:to>
      <xdr:col>4</xdr:col>
      <xdr:colOff>334825</xdr:colOff>
      <xdr:row>7</xdr:row>
      <xdr:rowOff>152400</xdr:rowOff>
    </xdr:to>
    <xdr:sp macro="" textlink="">
      <xdr:nvSpPr>
        <xdr:cNvPr id="26" name="Símbolo de &quot;Não Permitido&quot; 25">
          <a:extLst>
            <a:ext uri="{FF2B5EF4-FFF2-40B4-BE49-F238E27FC236}">
              <a16:creationId xmlns:a16="http://schemas.microsoft.com/office/drawing/2014/main" id="{37A4F6F4-6DC0-424E-8762-26345C9CE02A}"/>
            </a:ext>
          </a:extLst>
        </xdr:cNvPr>
        <xdr:cNvSpPr/>
      </xdr:nvSpPr>
      <xdr:spPr>
        <a:xfrm>
          <a:off x="3849550" y="1190625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247652</xdr:colOff>
      <xdr:row>10</xdr:row>
      <xdr:rowOff>41413</xdr:rowOff>
    </xdr:from>
    <xdr:to>
      <xdr:col>4</xdr:col>
      <xdr:colOff>352427</xdr:colOff>
      <xdr:row>10</xdr:row>
      <xdr:rowOff>146188</xdr:rowOff>
    </xdr:to>
    <xdr:sp macro="" textlink="">
      <xdr:nvSpPr>
        <xdr:cNvPr id="30" name="Símbolo de &quot;Não Permitido&quot; 29">
          <a:extLst>
            <a:ext uri="{FF2B5EF4-FFF2-40B4-BE49-F238E27FC236}">
              <a16:creationId xmlns:a16="http://schemas.microsoft.com/office/drawing/2014/main" id="{1CE9C15D-5454-402E-83A9-27BA2F65C791}"/>
            </a:ext>
          </a:extLst>
        </xdr:cNvPr>
        <xdr:cNvSpPr/>
      </xdr:nvSpPr>
      <xdr:spPr>
        <a:xfrm>
          <a:off x="3867152" y="1755913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242889</xdr:colOff>
      <xdr:row>9</xdr:row>
      <xdr:rowOff>50938</xdr:rowOff>
    </xdr:from>
    <xdr:to>
      <xdr:col>4</xdr:col>
      <xdr:colOff>347664</xdr:colOff>
      <xdr:row>9</xdr:row>
      <xdr:rowOff>155713</xdr:rowOff>
    </xdr:to>
    <xdr:sp macro="" textlink="">
      <xdr:nvSpPr>
        <xdr:cNvPr id="31" name="Símbolo de &quot;Não Permitido&quot; 30">
          <a:extLst>
            <a:ext uri="{FF2B5EF4-FFF2-40B4-BE49-F238E27FC236}">
              <a16:creationId xmlns:a16="http://schemas.microsoft.com/office/drawing/2014/main" id="{9C76CD9F-0C8D-4A19-AAB6-101283051A29}"/>
            </a:ext>
          </a:extLst>
        </xdr:cNvPr>
        <xdr:cNvSpPr/>
      </xdr:nvSpPr>
      <xdr:spPr>
        <a:xfrm>
          <a:off x="3862389" y="1574938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259948</xdr:colOff>
      <xdr:row>12</xdr:row>
      <xdr:rowOff>38100</xdr:rowOff>
    </xdr:from>
    <xdr:to>
      <xdr:col>11</xdr:col>
      <xdr:colOff>364723</xdr:colOff>
      <xdr:row>12</xdr:row>
      <xdr:rowOff>142875</xdr:rowOff>
    </xdr:to>
    <xdr:sp macro="" textlink="">
      <xdr:nvSpPr>
        <xdr:cNvPr id="32" name="Símbolo de &quot;Não Permitido&quot; 31">
          <a:extLst>
            <a:ext uri="{FF2B5EF4-FFF2-40B4-BE49-F238E27FC236}">
              <a16:creationId xmlns:a16="http://schemas.microsoft.com/office/drawing/2014/main" id="{5AD8321D-C6AB-47E4-949C-05976005D425}"/>
            </a:ext>
          </a:extLst>
        </xdr:cNvPr>
        <xdr:cNvSpPr/>
      </xdr:nvSpPr>
      <xdr:spPr>
        <a:xfrm>
          <a:off x="8121736" y="2133600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240898</xdr:colOff>
      <xdr:row>8</xdr:row>
      <xdr:rowOff>47625</xdr:rowOff>
    </xdr:from>
    <xdr:to>
      <xdr:col>11</xdr:col>
      <xdr:colOff>345673</xdr:colOff>
      <xdr:row>8</xdr:row>
      <xdr:rowOff>152400</xdr:rowOff>
    </xdr:to>
    <xdr:sp macro="" textlink="">
      <xdr:nvSpPr>
        <xdr:cNvPr id="33" name="Símbolo de &quot;Não Permitido&quot; 32">
          <a:extLst>
            <a:ext uri="{FF2B5EF4-FFF2-40B4-BE49-F238E27FC236}">
              <a16:creationId xmlns:a16="http://schemas.microsoft.com/office/drawing/2014/main" id="{7F73683A-5632-4538-A385-51A456178C1F}"/>
            </a:ext>
          </a:extLst>
        </xdr:cNvPr>
        <xdr:cNvSpPr/>
      </xdr:nvSpPr>
      <xdr:spPr>
        <a:xfrm>
          <a:off x="8102686" y="1381125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245660</xdr:colOff>
      <xdr:row>3</xdr:row>
      <xdr:rowOff>47625</xdr:rowOff>
    </xdr:from>
    <xdr:to>
      <xdr:col>11</xdr:col>
      <xdr:colOff>350435</xdr:colOff>
      <xdr:row>3</xdr:row>
      <xdr:rowOff>152400</xdr:rowOff>
    </xdr:to>
    <xdr:sp macro="" textlink="">
      <xdr:nvSpPr>
        <xdr:cNvPr id="34" name="Símbolo de &quot;Não Permitido&quot; 33">
          <a:extLst>
            <a:ext uri="{FF2B5EF4-FFF2-40B4-BE49-F238E27FC236}">
              <a16:creationId xmlns:a16="http://schemas.microsoft.com/office/drawing/2014/main" id="{93813D1F-087D-41E3-857E-E47ECD0310D5}"/>
            </a:ext>
          </a:extLst>
        </xdr:cNvPr>
        <xdr:cNvSpPr/>
      </xdr:nvSpPr>
      <xdr:spPr>
        <a:xfrm>
          <a:off x="8107448" y="619125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255185</xdr:colOff>
      <xdr:row>11</xdr:row>
      <xdr:rowOff>47625</xdr:rowOff>
    </xdr:from>
    <xdr:to>
      <xdr:col>11</xdr:col>
      <xdr:colOff>359960</xdr:colOff>
      <xdr:row>11</xdr:row>
      <xdr:rowOff>152400</xdr:rowOff>
    </xdr:to>
    <xdr:sp macro="" textlink="">
      <xdr:nvSpPr>
        <xdr:cNvPr id="35" name="Símbolo de &quot;Não Permitido&quot; 34">
          <a:extLst>
            <a:ext uri="{FF2B5EF4-FFF2-40B4-BE49-F238E27FC236}">
              <a16:creationId xmlns:a16="http://schemas.microsoft.com/office/drawing/2014/main" id="{5A586073-1B38-4FF2-9FC8-0A0773A1CE36}"/>
            </a:ext>
          </a:extLst>
        </xdr:cNvPr>
        <xdr:cNvSpPr/>
      </xdr:nvSpPr>
      <xdr:spPr>
        <a:xfrm>
          <a:off x="8116973" y="1952625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240165</xdr:colOff>
      <xdr:row>4</xdr:row>
      <xdr:rowOff>47625</xdr:rowOff>
    </xdr:from>
    <xdr:to>
      <xdr:col>11</xdr:col>
      <xdr:colOff>344940</xdr:colOff>
      <xdr:row>4</xdr:row>
      <xdr:rowOff>152400</xdr:rowOff>
    </xdr:to>
    <xdr:sp macro="" textlink="">
      <xdr:nvSpPr>
        <xdr:cNvPr id="37" name="Símbolo de &quot;Não Permitido&quot; 36">
          <a:extLst>
            <a:ext uri="{FF2B5EF4-FFF2-40B4-BE49-F238E27FC236}">
              <a16:creationId xmlns:a16="http://schemas.microsoft.com/office/drawing/2014/main" id="{1F7B3695-CF9F-4AF2-8A18-5625270D1948}"/>
            </a:ext>
          </a:extLst>
        </xdr:cNvPr>
        <xdr:cNvSpPr/>
      </xdr:nvSpPr>
      <xdr:spPr>
        <a:xfrm>
          <a:off x="8101953" y="809625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237377</xdr:colOff>
      <xdr:row>7</xdr:row>
      <xdr:rowOff>47625</xdr:rowOff>
    </xdr:from>
    <xdr:to>
      <xdr:col>11</xdr:col>
      <xdr:colOff>342152</xdr:colOff>
      <xdr:row>7</xdr:row>
      <xdr:rowOff>152400</xdr:rowOff>
    </xdr:to>
    <xdr:sp macro="" textlink="">
      <xdr:nvSpPr>
        <xdr:cNvPr id="38" name="Símbolo de &quot;Não Permitido&quot; 37">
          <a:extLst>
            <a:ext uri="{FF2B5EF4-FFF2-40B4-BE49-F238E27FC236}">
              <a16:creationId xmlns:a16="http://schemas.microsoft.com/office/drawing/2014/main" id="{EE4DC70A-5DAD-4AAD-A4E7-B407CC36B5B7}"/>
            </a:ext>
          </a:extLst>
        </xdr:cNvPr>
        <xdr:cNvSpPr/>
      </xdr:nvSpPr>
      <xdr:spPr>
        <a:xfrm>
          <a:off x="8099165" y="1190625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254979</xdr:colOff>
      <xdr:row>10</xdr:row>
      <xdr:rowOff>41413</xdr:rowOff>
    </xdr:from>
    <xdr:to>
      <xdr:col>11</xdr:col>
      <xdr:colOff>359754</xdr:colOff>
      <xdr:row>10</xdr:row>
      <xdr:rowOff>146188</xdr:rowOff>
    </xdr:to>
    <xdr:sp macro="" textlink="">
      <xdr:nvSpPr>
        <xdr:cNvPr id="39" name="Símbolo de &quot;Não Permitido&quot; 38">
          <a:extLst>
            <a:ext uri="{FF2B5EF4-FFF2-40B4-BE49-F238E27FC236}">
              <a16:creationId xmlns:a16="http://schemas.microsoft.com/office/drawing/2014/main" id="{44E7461E-D49C-4373-AFBE-BDF06B551B00}"/>
            </a:ext>
          </a:extLst>
        </xdr:cNvPr>
        <xdr:cNvSpPr/>
      </xdr:nvSpPr>
      <xdr:spPr>
        <a:xfrm>
          <a:off x="8116767" y="1755913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250216</xdr:colOff>
      <xdr:row>9</xdr:row>
      <xdr:rowOff>50938</xdr:rowOff>
    </xdr:from>
    <xdr:to>
      <xdr:col>11</xdr:col>
      <xdr:colOff>354991</xdr:colOff>
      <xdr:row>9</xdr:row>
      <xdr:rowOff>155713</xdr:rowOff>
    </xdr:to>
    <xdr:sp macro="" textlink="">
      <xdr:nvSpPr>
        <xdr:cNvPr id="40" name="Símbolo de &quot;Não Permitido&quot; 39">
          <a:extLst>
            <a:ext uri="{FF2B5EF4-FFF2-40B4-BE49-F238E27FC236}">
              <a16:creationId xmlns:a16="http://schemas.microsoft.com/office/drawing/2014/main" id="{335945EC-6C21-48E0-9716-244290DEEBAC}"/>
            </a:ext>
          </a:extLst>
        </xdr:cNvPr>
        <xdr:cNvSpPr/>
      </xdr:nvSpPr>
      <xdr:spPr>
        <a:xfrm>
          <a:off x="8112004" y="1574938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273136</xdr:colOff>
      <xdr:row>12</xdr:row>
      <xdr:rowOff>43961</xdr:rowOff>
    </xdr:from>
    <xdr:to>
      <xdr:col>18</xdr:col>
      <xdr:colOff>377911</xdr:colOff>
      <xdr:row>12</xdr:row>
      <xdr:rowOff>148736</xdr:rowOff>
    </xdr:to>
    <xdr:sp macro="" textlink="">
      <xdr:nvSpPr>
        <xdr:cNvPr id="41" name="Símbolo de &quot;Não Permitido&quot; 40">
          <a:extLst>
            <a:ext uri="{FF2B5EF4-FFF2-40B4-BE49-F238E27FC236}">
              <a16:creationId xmlns:a16="http://schemas.microsoft.com/office/drawing/2014/main" id="{61B7E8D9-D880-43E3-B441-59065E9460BD}"/>
            </a:ext>
          </a:extLst>
        </xdr:cNvPr>
        <xdr:cNvSpPr/>
      </xdr:nvSpPr>
      <xdr:spPr>
        <a:xfrm>
          <a:off x="12391867" y="2139461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254086</xdr:colOff>
      <xdr:row>8</xdr:row>
      <xdr:rowOff>53486</xdr:rowOff>
    </xdr:from>
    <xdr:to>
      <xdr:col>18</xdr:col>
      <xdr:colOff>358861</xdr:colOff>
      <xdr:row>8</xdr:row>
      <xdr:rowOff>158261</xdr:rowOff>
    </xdr:to>
    <xdr:sp macro="" textlink="">
      <xdr:nvSpPr>
        <xdr:cNvPr id="42" name="Símbolo de &quot;Não Permitido&quot; 41">
          <a:extLst>
            <a:ext uri="{FF2B5EF4-FFF2-40B4-BE49-F238E27FC236}">
              <a16:creationId xmlns:a16="http://schemas.microsoft.com/office/drawing/2014/main" id="{90AFAF4D-7CBB-4DE9-82FB-DC3E81A1A892}"/>
            </a:ext>
          </a:extLst>
        </xdr:cNvPr>
        <xdr:cNvSpPr/>
      </xdr:nvSpPr>
      <xdr:spPr>
        <a:xfrm>
          <a:off x="12372817" y="1386986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258848</xdr:colOff>
      <xdr:row>3</xdr:row>
      <xdr:rowOff>53486</xdr:rowOff>
    </xdr:from>
    <xdr:to>
      <xdr:col>18</xdr:col>
      <xdr:colOff>363623</xdr:colOff>
      <xdr:row>3</xdr:row>
      <xdr:rowOff>158261</xdr:rowOff>
    </xdr:to>
    <xdr:sp macro="" textlink="">
      <xdr:nvSpPr>
        <xdr:cNvPr id="43" name="Símbolo de &quot;Não Permitido&quot; 42">
          <a:extLst>
            <a:ext uri="{FF2B5EF4-FFF2-40B4-BE49-F238E27FC236}">
              <a16:creationId xmlns:a16="http://schemas.microsoft.com/office/drawing/2014/main" id="{CDA51E2E-C6A2-4549-A46E-0E5E59645B8F}"/>
            </a:ext>
          </a:extLst>
        </xdr:cNvPr>
        <xdr:cNvSpPr/>
      </xdr:nvSpPr>
      <xdr:spPr>
        <a:xfrm>
          <a:off x="12377579" y="624986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268373</xdr:colOff>
      <xdr:row>11</xdr:row>
      <xdr:rowOff>53486</xdr:rowOff>
    </xdr:from>
    <xdr:to>
      <xdr:col>18</xdr:col>
      <xdr:colOff>373148</xdr:colOff>
      <xdr:row>11</xdr:row>
      <xdr:rowOff>158261</xdr:rowOff>
    </xdr:to>
    <xdr:sp macro="" textlink="">
      <xdr:nvSpPr>
        <xdr:cNvPr id="44" name="Símbolo de &quot;Não Permitido&quot; 43">
          <a:extLst>
            <a:ext uri="{FF2B5EF4-FFF2-40B4-BE49-F238E27FC236}">
              <a16:creationId xmlns:a16="http://schemas.microsoft.com/office/drawing/2014/main" id="{A80B2AD2-6F5E-4AC5-B4B7-F98C7765AC82}"/>
            </a:ext>
          </a:extLst>
        </xdr:cNvPr>
        <xdr:cNvSpPr/>
      </xdr:nvSpPr>
      <xdr:spPr>
        <a:xfrm>
          <a:off x="12387104" y="1958486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258848</xdr:colOff>
      <xdr:row>6</xdr:row>
      <xdr:rowOff>53486</xdr:rowOff>
    </xdr:from>
    <xdr:to>
      <xdr:col>18</xdr:col>
      <xdr:colOff>363623</xdr:colOff>
      <xdr:row>6</xdr:row>
      <xdr:rowOff>158261</xdr:rowOff>
    </xdr:to>
    <xdr:sp macro="" textlink="">
      <xdr:nvSpPr>
        <xdr:cNvPr id="45" name="Símbolo de &quot;Não Permitido&quot; 44">
          <a:extLst>
            <a:ext uri="{FF2B5EF4-FFF2-40B4-BE49-F238E27FC236}">
              <a16:creationId xmlns:a16="http://schemas.microsoft.com/office/drawing/2014/main" id="{3DBDB679-27EB-4E48-A937-3DAA9D1368D6}"/>
            </a:ext>
          </a:extLst>
        </xdr:cNvPr>
        <xdr:cNvSpPr/>
      </xdr:nvSpPr>
      <xdr:spPr>
        <a:xfrm>
          <a:off x="12377579" y="1005986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253353</xdr:colOff>
      <xdr:row>4</xdr:row>
      <xdr:rowOff>53486</xdr:rowOff>
    </xdr:from>
    <xdr:to>
      <xdr:col>18</xdr:col>
      <xdr:colOff>358128</xdr:colOff>
      <xdr:row>4</xdr:row>
      <xdr:rowOff>158261</xdr:rowOff>
    </xdr:to>
    <xdr:sp macro="" textlink="">
      <xdr:nvSpPr>
        <xdr:cNvPr id="46" name="Símbolo de &quot;Não Permitido&quot; 45">
          <a:extLst>
            <a:ext uri="{FF2B5EF4-FFF2-40B4-BE49-F238E27FC236}">
              <a16:creationId xmlns:a16="http://schemas.microsoft.com/office/drawing/2014/main" id="{A193B186-603F-4FB5-B303-222457EED99E}"/>
            </a:ext>
          </a:extLst>
        </xdr:cNvPr>
        <xdr:cNvSpPr/>
      </xdr:nvSpPr>
      <xdr:spPr>
        <a:xfrm>
          <a:off x="12372084" y="815486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250565</xdr:colOff>
      <xdr:row>7</xdr:row>
      <xdr:rowOff>53486</xdr:rowOff>
    </xdr:from>
    <xdr:to>
      <xdr:col>18</xdr:col>
      <xdr:colOff>355340</xdr:colOff>
      <xdr:row>7</xdr:row>
      <xdr:rowOff>158261</xdr:rowOff>
    </xdr:to>
    <xdr:sp macro="" textlink="">
      <xdr:nvSpPr>
        <xdr:cNvPr id="47" name="Símbolo de &quot;Não Permitido&quot; 46">
          <a:extLst>
            <a:ext uri="{FF2B5EF4-FFF2-40B4-BE49-F238E27FC236}">
              <a16:creationId xmlns:a16="http://schemas.microsoft.com/office/drawing/2014/main" id="{BB622CA5-ED9C-4DA1-9AFA-53C533AF7C4B}"/>
            </a:ext>
          </a:extLst>
        </xdr:cNvPr>
        <xdr:cNvSpPr/>
      </xdr:nvSpPr>
      <xdr:spPr>
        <a:xfrm>
          <a:off x="12369296" y="1196486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268167</xdr:colOff>
      <xdr:row>10</xdr:row>
      <xdr:rowOff>47274</xdr:rowOff>
    </xdr:from>
    <xdr:to>
      <xdr:col>18</xdr:col>
      <xdr:colOff>372942</xdr:colOff>
      <xdr:row>10</xdr:row>
      <xdr:rowOff>152049</xdr:rowOff>
    </xdr:to>
    <xdr:sp macro="" textlink="">
      <xdr:nvSpPr>
        <xdr:cNvPr id="48" name="Símbolo de &quot;Não Permitido&quot; 47">
          <a:extLst>
            <a:ext uri="{FF2B5EF4-FFF2-40B4-BE49-F238E27FC236}">
              <a16:creationId xmlns:a16="http://schemas.microsoft.com/office/drawing/2014/main" id="{E12E6F4B-1B58-4296-9C49-AE0AC40CBE30}"/>
            </a:ext>
          </a:extLst>
        </xdr:cNvPr>
        <xdr:cNvSpPr/>
      </xdr:nvSpPr>
      <xdr:spPr>
        <a:xfrm>
          <a:off x="12386898" y="1761774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263404</xdr:colOff>
      <xdr:row>9</xdr:row>
      <xdr:rowOff>56799</xdr:rowOff>
    </xdr:from>
    <xdr:to>
      <xdr:col>18</xdr:col>
      <xdr:colOff>368179</xdr:colOff>
      <xdr:row>9</xdr:row>
      <xdr:rowOff>161574</xdr:rowOff>
    </xdr:to>
    <xdr:sp macro="" textlink="">
      <xdr:nvSpPr>
        <xdr:cNvPr id="49" name="Símbolo de &quot;Não Permitido&quot; 48">
          <a:extLst>
            <a:ext uri="{FF2B5EF4-FFF2-40B4-BE49-F238E27FC236}">
              <a16:creationId xmlns:a16="http://schemas.microsoft.com/office/drawing/2014/main" id="{82A7787B-D6D5-4D82-80A0-FF505FBEB437}"/>
            </a:ext>
          </a:extLst>
        </xdr:cNvPr>
        <xdr:cNvSpPr/>
      </xdr:nvSpPr>
      <xdr:spPr>
        <a:xfrm>
          <a:off x="12382135" y="1580799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257018</xdr:colOff>
      <xdr:row>12</xdr:row>
      <xdr:rowOff>49823</xdr:rowOff>
    </xdr:from>
    <xdr:to>
      <xdr:col>25</xdr:col>
      <xdr:colOff>361793</xdr:colOff>
      <xdr:row>12</xdr:row>
      <xdr:rowOff>154598</xdr:rowOff>
    </xdr:to>
    <xdr:sp macro="" textlink="">
      <xdr:nvSpPr>
        <xdr:cNvPr id="50" name="Símbolo de &quot;Não Permitido&quot; 49">
          <a:extLst>
            <a:ext uri="{FF2B5EF4-FFF2-40B4-BE49-F238E27FC236}">
              <a16:creationId xmlns:a16="http://schemas.microsoft.com/office/drawing/2014/main" id="{C5ACE145-5B20-4D33-B7D4-75D298F98632}"/>
            </a:ext>
          </a:extLst>
        </xdr:cNvPr>
        <xdr:cNvSpPr/>
      </xdr:nvSpPr>
      <xdr:spPr>
        <a:xfrm>
          <a:off x="16632691" y="2145323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237968</xdr:colOff>
      <xdr:row>8</xdr:row>
      <xdr:rowOff>59348</xdr:rowOff>
    </xdr:from>
    <xdr:to>
      <xdr:col>25</xdr:col>
      <xdr:colOff>342743</xdr:colOff>
      <xdr:row>8</xdr:row>
      <xdr:rowOff>164123</xdr:rowOff>
    </xdr:to>
    <xdr:sp macro="" textlink="">
      <xdr:nvSpPr>
        <xdr:cNvPr id="51" name="Símbolo de &quot;Não Permitido&quot; 50">
          <a:extLst>
            <a:ext uri="{FF2B5EF4-FFF2-40B4-BE49-F238E27FC236}">
              <a16:creationId xmlns:a16="http://schemas.microsoft.com/office/drawing/2014/main" id="{A42EFB1D-D430-4B59-8412-C091DF0FBA93}"/>
            </a:ext>
          </a:extLst>
        </xdr:cNvPr>
        <xdr:cNvSpPr/>
      </xdr:nvSpPr>
      <xdr:spPr>
        <a:xfrm>
          <a:off x="16613641" y="1392848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242730</xdr:colOff>
      <xdr:row>3</xdr:row>
      <xdr:rowOff>59348</xdr:rowOff>
    </xdr:from>
    <xdr:to>
      <xdr:col>25</xdr:col>
      <xdr:colOff>347505</xdr:colOff>
      <xdr:row>3</xdr:row>
      <xdr:rowOff>164123</xdr:rowOff>
    </xdr:to>
    <xdr:sp macro="" textlink="">
      <xdr:nvSpPr>
        <xdr:cNvPr id="52" name="Símbolo de &quot;Não Permitido&quot; 51">
          <a:extLst>
            <a:ext uri="{FF2B5EF4-FFF2-40B4-BE49-F238E27FC236}">
              <a16:creationId xmlns:a16="http://schemas.microsoft.com/office/drawing/2014/main" id="{25002C19-F5C9-4FDA-A571-7581DC00C285}"/>
            </a:ext>
          </a:extLst>
        </xdr:cNvPr>
        <xdr:cNvSpPr/>
      </xdr:nvSpPr>
      <xdr:spPr>
        <a:xfrm>
          <a:off x="16618403" y="630848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252255</xdr:colOff>
      <xdr:row>11</xdr:row>
      <xdr:rowOff>59348</xdr:rowOff>
    </xdr:from>
    <xdr:to>
      <xdr:col>25</xdr:col>
      <xdr:colOff>357030</xdr:colOff>
      <xdr:row>11</xdr:row>
      <xdr:rowOff>164123</xdr:rowOff>
    </xdr:to>
    <xdr:sp macro="" textlink="">
      <xdr:nvSpPr>
        <xdr:cNvPr id="53" name="Símbolo de &quot;Não Permitido&quot; 52">
          <a:extLst>
            <a:ext uri="{FF2B5EF4-FFF2-40B4-BE49-F238E27FC236}">
              <a16:creationId xmlns:a16="http://schemas.microsoft.com/office/drawing/2014/main" id="{E08C98E7-8F45-47B8-8EBD-C099EC3508E0}"/>
            </a:ext>
          </a:extLst>
        </xdr:cNvPr>
        <xdr:cNvSpPr/>
      </xdr:nvSpPr>
      <xdr:spPr>
        <a:xfrm>
          <a:off x="16627928" y="1964348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242730</xdr:colOff>
      <xdr:row>6</xdr:row>
      <xdr:rowOff>59348</xdr:rowOff>
    </xdr:from>
    <xdr:to>
      <xdr:col>25</xdr:col>
      <xdr:colOff>347505</xdr:colOff>
      <xdr:row>6</xdr:row>
      <xdr:rowOff>164123</xdr:rowOff>
    </xdr:to>
    <xdr:sp macro="" textlink="">
      <xdr:nvSpPr>
        <xdr:cNvPr id="54" name="Símbolo de &quot;Não Permitido&quot; 53">
          <a:extLst>
            <a:ext uri="{FF2B5EF4-FFF2-40B4-BE49-F238E27FC236}">
              <a16:creationId xmlns:a16="http://schemas.microsoft.com/office/drawing/2014/main" id="{CCDCF4B7-440F-4F55-B7E2-1457A1790821}"/>
            </a:ext>
          </a:extLst>
        </xdr:cNvPr>
        <xdr:cNvSpPr/>
      </xdr:nvSpPr>
      <xdr:spPr>
        <a:xfrm>
          <a:off x="16618403" y="1011848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237235</xdr:colOff>
      <xdr:row>4</xdr:row>
      <xdr:rowOff>59348</xdr:rowOff>
    </xdr:from>
    <xdr:to>
      <xdr:col>25</xdr:col>
      <xdr:colOff>342010</xdr:colOff>
      <xdr:row>4</xdr:row>
      <xdr:rowOff>164123</xdr:rowOff>
    </xdr:to>
    <xdr:sp macro="" textlink="">
      <xdr:nvSpPr>
        <xdr:cNvPr id="55" name="Símbolo de &quot;Não Permitido&quot; 54">
          <a:extLst>
            <a:ext uri="{FF2B5EF4-FFF2-40B4-BE49-F238E27FC236}">
              <a16:creationId xmlns:a16="http://schemas.microsoft.com/office/drawing/2014/main" id="{25844D48-AE20-42B0-AEB6-B39797162158}"/>
            </a:ext>
          </a:extLst>
        </xdr:cNvPr>
        <xdr:cNvSpPr/>
      </xdr:nvSpPr>
      <xdr:spPr>
        <a:xfrm>
          <a:off x="16612908" y="821348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234447</xdr:colOff>
      <xdr:row>7</xdr:row>
      <xdr:rowOff>59348</xdr:rowOff>
    </xdr:from>
    <xdr:to>
      <xdr:col>25</xdr:col>
      <xdr:colOff>339222</xdr:colOff>
      <xdr:row>7</xdr:row>
      <xdr:rowOff>164123</xdr:rowOff>
    </xdr:to>
    <xdr:sp macro="" textlink="">
      <xdr:nvSpPr>
        <xdr:cNvPr id="56" name="Símbolo de &quot;Não Permitido&quot; 55">
          <a:extLst>
            <a:ext uri="{FF2B5EF4-FFF2-40B4-BE49-F238E27FC236}">
              <a16:creationId xmlns:a16="http://schemas.microsoft.com/office/drawing/2014/main" id="{C1E11017-880E-4384-8E9A-DB6C6F5BB75F}"/>
            </a:ext>
          </a:extLst>
        </xdr:cNvPr>
        <xdr:cNvSpPr/>
      </xdr:nvSpPr>
      <xdr:spPr>
        <a:xfrm>
          <a:off x="16610120" y="1202348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252049</xdr:colOff>
      <xdr:row>10</xdr:row>
      <xdr:rowOff>53136</xdr:rowOff>
    </xdr:from>
    <xdr:to>
      <xdr:col>25</xdr:col>
      <xdr:colOff>356824</xdr:colOff>
      <xdr:row>10</xdr:row>
      <xdr:rowOff>157911</xdr:rowOff>
    </xdr:to>
    <xdr:sp macro="" textlink="">
      <xdr:nvSpPr>
        <xdr:cNvPr id="57" name="Símbolo de &quot;Não Permitido&quot; 56">
          <a:extLst>
            <a:ext uri="{FF2B5EF4-FFF2-40B4-BE49-F238E27FC236}">
              <a16:creationId xmlns:a16="http://schemas.microsoft.com/office/drawing/2014/main" id="{053B77BD-4750-42CC-95BA-5720144C0B64}"/>
            </a:ext>
          </a:extLst>
        </xdr:cNvPr>
        <xdr:cNvSpPr/>
      </xdr:nvSpPr>
      <xdr:spPr>
        <a:xfrm>
          <a:off x="16627722" y="1767636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247286</xdr:colOff>
      <xdr:row>9</xdr:row>
      <xdr:rowOff>62661</xdr:rowOff>
    </xdr:from>
    <xdr:to>
      <xdr:col>25</xdr:col>
      <xdr:colOff>352061</xdr:colOff>
      <xdr:row>9</xdr:row>
      <xdr:rowOff>167436</xdr:rowOff>
    </xdr:to>
    <xdr:sp macro="" textlink="">
      <xdr:nvSpPr>
        <xdr:cNvPr id="58" name="Símbolo de &quot;Não Permitido&quot; 57">
          <a:extLst>
            <a:ext uri="{FF2B5EF4-FFF2-40B4-BE49-F238E27FC236}">
              <a16:creationId xmlns:a16="http://schemas.microsoft.com/office/drawing/2014/main" id="{49A075DE-2A6D-4A19-8BA2-F0EF72ECB970}"/>
            </a:ext>
          </a:extLst>
        </xdr:cNvPr>
        <xdr:cNvSpPr/>
      </xdr:nvSpPr>
      <xdr:spPr>
        <a:xfrm>
          <a:off x="16622959" y="1586661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246026</xdr:colOff>
      <xdr:row>5</xdr:row>
      <xdr:rowOff>53486</xdr:rowOff>
    </xdr:from>
    <xdr:to>
      <xdr:col>11</xdr:col>
      <xdr:colOff>350801</xdr:colOff>
      <xdr:row>5</xdr:row>
      <xdr:rowOff>158261</xdr:rowOff>
    </xdr:to>
    <xdr:sp macro="" textlink="">
      <xdr:nvSpPr>
        <xdr:cNvPr id="59" name="Símbolo de &quot;Não Permitido&quot; 58">
          <a:extLst>
            <a:ext uri="{FF2B5EF4-FFF2-40B4-BE49-F238E27FC236}">
              <a16:creationId xmlns:a16="http://schemas.microsoft.com/office/drawing/2014/main" id="{05D4F59D-032A-4A6D-A623-96B98F8B3C62}"/>
            </a:ext>
          </a:extLst>
        </xdr:cNvPr>
        <xdr:cNvSpPr/>
      </xdr:nvSpPr>
      <xdr:spPr>
        <a:xfrm>
          <a:off x="8107814" y="1005986"/>
          <a:ext cx="104775" cy="1047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DCF36-7201-4F96-AE71-85288899B247}">
  <dimension ref="A1:AF31"/>
  <sheetViews>
    <sheetView zoomScale="115" zoomScaleNormal="115" workbookViewId="0">
      <pane xSplit="1" topLeftCell="B1" activePane="topRight" state="frozen"/>
      <selection pane="topRight" activeCell="R6" sqref="R6:W6"/>
    </sheetView>
  </sheetViews>
  <sheetFormatPr defaultRowHeight="15" x14ac:dyDescent="0.25"/>
  <cols>
    <col min="1" max="1" width="18.42578125" customWidth="1"/>
    <col min="2" max="2" width="11.28515625" customWidth="1"/>
    <col min="3" max="3" width="9" customWidth="1"/>
    <col min="20" max="20" width="9.85546875" bestFit="1" customWidth="1"/>
  </cols>
  <sheetData>
    <row r="1" spans="1:32" x14ac:dyDescent="0.25">
      <c r="A1" s="103" t="s">
        <v>8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</row>
    <row r="2" spans="1:32" x14ac:dyDescent="0.25">
      <c r="A2" s="101" t="s">
        <v>14</v>
      </c>
      <c r="B2" s="24">
        <v>1</v>
      </c>
      <c r="C2" s="24">
        <v>2</v>
      </c>
      <c r="D2" s="24">
        <v>3</v>
      </c>
      <c r="E2" s="24">
        <v>4</v>
      </c>
      <c r="F2" s="24">
        <v>5</v>
      </c>
      <c r="G2" s="24">
        <v>6</v>
      </c>
      <c r="H2" s="24">
        <v>7</v>
      </c>
      <c r="I2" s="24">
        <v>8</v>
      </c>
      <c r="J2" s="24">
        <v>9</v>
      </c>
      <c r="K2" s="24">
        <v>10</v>
      </c>
      <c r="L2" s="24">
        <v>11</v>
      </c>
      <c r="M2" s="24">
        <v>12</v>
      </c>
      <c r="N2" s="24">
        <v>13</v>
      </c>
      <c r="O2" s="24">
        <v>14</v>
      </c>
      <c r="P2" s="23">
        <v>15</v>
      </c>
      <c r="Q2" s="23">
        <v>16</v>
      </c>
      <c r="R2" s="23">
        <v>17</v>
      </c>
      <c r="S2" s="23">
        <v>18</v>
      </c>
      <c r="T2" s="23">
        <v>19</v>
      </c>
      <c r="U2" s="23">
        <v>20</v>
      </c>
      <c r="V2" s="23">
        <v>21</v>
      </c>
      <c r="W2" s="23">
        <v>22</v>
      </c>
      <c r="X2" s="23">
        <v>23</v>
      </c>
      <c r="Y2" s="23">
        <v>24</v>
      </c>
      <c r="Z2" s="23">
        <v>25</v>
      </c>
      <c r="AA2" s="23">
        <v>26</v>
      </c>
      <c r="AB2" s="23">
        <v>27</v>
      </c>
      <c r="AC2" s="23">
        <v>28</v>
      </c>
      <c r="AD2" s="23">
        <v>29</v>
      </c>
      <c r="AE2" s="23">
        <v>30</v>
      </c>
      <c r="AF2" s="23">
        <v>31</v>
      </c>
    </row>
    <row r="3" spans="1:32" x14ac:dyDescent="0.25">
      <c r="A3" s="102"/>
      <c r="B3" s="24" t="s">
        <v>15</v>
      </c>
      <c r="C3" s="24" t="s">
        <v>16</v>
      </c>
      <c r="D3" s="24" t="s">
        <v>17</v>
      </c>
      <c r="E3" s="24" t="s">
        <v>18</v>
      </c>
      <c r="F3" s="24" t="s">
        <v>19</v>
      </c>
      <c r="G3" s="24" t="s">
        <v>20</v>
      </c>
      <c r="H3" s="24" t="s">
        <v>21</v>
      </c>
      <c r="I3" s="24" t="s">
        <v>22</v>
      </c>
      <c r="J3" s="24" t="s">
        <v>16</v>
      </c>
      <c r="K3" s="24" t="s">
        <v>17</v>
      </c>
      <c r="L3" s="24" t="s">
        <v>18</v>
      </c>
      <c r="M3" s="24" t="s">
        <v>19</v>
      </c>
      <c r="N3" s="24" t="s">
        <v>20</v>
      </c>
      <c r="O3" s="24" t="s">
        <v>21</v>
      </c>
      <c r="P3" s="24" t="s">
        <v>22</v>
      </c>
      <c r="Q3" s="24" t="s">
        <v>16</v>
      </c>
      <c r="R3" s="24" t="s">
        <v>17</v>
      </c>
      <c r="S3" s="24" t="s">
        <v>18</v>
      </c>
      <c r="T3" s="24" t="s">
        <v>19</v>
      </c>
      <c r="U3" s="24" t="s">
        <v>20</v>
      </c>
      <c r="V3" s="24" t="s">
        <v>21</v>
      </c>
      <c r="W3" s="24" t="s">
        <v>22</v>
      </c>
      <c r="X3" s="24" t="s">
        <v>16</v>
      </c>
      <c r="Y3" s="24" t="s">
        <v>17</v>
      </c>
      <c r="Z3" s="24" t="s">
        <v>18</v>
      </c>
      <c r="AA3" s="24" t="s">
        <v>19</v>
      </c>
      <c r="AB3" s="24" t="s">
        <v>20</v>
      </c>
      <c r="AC3" s="24" t="s">
        <v>21</v>
      </c>
      <c r="AD3" s="24" t="s">
        <v>22</v>
      </c>
      <c r="AE3" s="24" t="s">
        <v>16</v>
      </c>
      <c r="AF3" s="24" t="s">
        <v>17</v>
      </c>
    </row>
    <row r="4" spans="1:32" x14ac:dyDescent="0.25">
      <c r="A4" s="38" t="s">
        <v>31</v>
      </c>
      <c r="B4" s="41"/>
      <c r="C4" s="8"/>
      <c r="D4" s="41">
        <v>1710</v>
      </c>
      <c r="E4" s="41">
        <v>7990</v>
      </c>
      <c r="F4" s="41">
        <v>9450</v>
      </c>
      <c r="G4" s="41">
        <v>940</v>
      </c>
      <c r="H4" s="41">
        <v>2510</v>
      </c>
      <c r="I4" s="41">
        <v>2090</v>
      </c>
      <c r="J4" s="8"/>
      <c r="K4" s="1">
        <v>4610</v>
      </c>
      <c r="L4" s="1">
        <v>3740</v>
      </c>
      <c r="M4" s="1">
        <v>2630</v>
      </c>
      <c r="N4" s="1">
        <v>4570</v>
      </c>
      <c r="O4" s="1">
        <v>3150</v>
      </c>
      <c r="P4" s="1">
        <v>180</v>
      </c>
      <c r="Q4" s="8"/>
      <c r="R4" s="1">
        <v>1030</v>
      </c>
      <c r="S4" s="1">
        <v>3220</v>
      </c>
      <c r="T4" s="1">
        <v>140</v>
      </c>
      <c r="U4" s="25" t="s">
        <v>23</v>
      </c>
      <c r="V4" s="1">
        <v>440</v>
      </c>
      <c r="W4" s="1">
        <v>1990</v>
      </c>
      <c r="X4" s="8"/>
      <c r="Y4" s="8">
        <v>8590</v>
      </c>
      <c r="Z4" s="8">
        <v>2600</v>
      </c>
      <c r="AA4" s="8">
        <v>7360</v>
      </c>
      <c r="AB4" s="8">
        <v>4210</v>
      </c>
      <c r="AC4" s="8">
        <v>16780</v>
      </c>
      <c r="AD4" s="8">
        <v>1810</v>
      </c>
      <c r="AE4" s="8"/>
      <c r="AF4" s="8">
        <v>4510</v>
      </c>
    </row>
    <row r="5" spans="1:32" x14ac:dyDescent="0.25">
      <c r="A5" s="39" t="s">
        <v>0</v>
      </c>
      <c r="B5" s="30">
        <v>42460</v>
      </c>
      <c r="C5" s="8"/>
      <c r="D5" s="30">
        <v>117420</v>
      </c>
      <c r="E5" s="30">
        <v>295050</v>
      </c>
      <c r="F5" s="30">
        <v>241880</v>
      </c>
      <c r="G5" s="30">
        <v>234180</v>
      </c>
      <c r="H5" s="30">
        <v>248220</v>
      </c>
      <c r="I5" s="30">
        <v>94010</v>
      </c>
      <c r="J5" s="8"/>
      <c r="K5" s="8">
        <v>240130</v>
      </c>
      <c r="L5" s="8">
        <v>204060</v>
      </c>
      <c r="M5" s="8">
        <v>216110</v>
      </c>
      <c r="N5" s="8">
        <v>155680</v>
      </c>
      <c r="O5" s="8">
        <v>189760</v>
      </c>
      <c r="P5" s="8">
        <v>127470</v>
      </c>
      <c r="Q5" s="8"/>
      <c r="R5" s="8">
        <v>295990</v>
      </c>
      <c r="S5" s="8">
        <v>200300</v>
      </c>
      <c r="T5" s="8">
        <v>215140</v>
      </c>
      <c r="U5" s="25" t="s">
        <v>23</v>
      </c>
      <c r="V5" s="8">
        <v>188340</v>
      </c>
      <c r="W5" s="8">
        <v>87300</v>
      </c>
      <c r="X5" s="8"/>
      <c r="Y5" s="8">
        <v>260950</v>
      </c>
      <c r="Z5" s="8">
        <v>201140</v>
      </c>
      <c r="AA5" s="8">
        <v>206490</v>
      </c>
      <c r="AB5" s="40">
        <v>165420</v>
      </c>
      <c r="AC5" s="8">
        <v>156690</v>
      </c>
      <c r="AD5" s="8">
        <v>52220</v>
      </c>
      <c r="AE5" s="8"/>
      <c r="AF5" s="8">
        <v>201460</v>
      </c>
    </row>
    <row r="6" spans="1:32" x14ac:dyDescent="0.25">
      <c r="A6" s="7" t="s">
        <v>1</v>
      </c>
      <c r="B6" s="30">
        <v>107560</v>
      </c>
      <c r="C6" s="8"/>
      <c r="D6" s="30">
        <v>95210</v>
      </c>
      <c r="E6" s="30">
        <v>151230</v>
      </c>
      <c r="F6" s="30">
        <v>95530</v>
      </c>
      <c r="G6" s="30">
        <v>87950</v>
      </c>
      <c r="H6" s="30">
        <v>89700</v>
      </c>
      <c r="I6" s="30">
        <v>110560</v>
      </c>
      <c r="J6" s="8"/>
      <c r="K6" s="8">
        <v>89260</v>
      </c>
      <c r="L6" s="8">
        <v>145290</v>
      </c>
      <c r="M6" s="8">
        <v>102670</v>
      </c>
      <c r="N6" s="8">
        <v>89200</v>
      </c>
      <c r="O6" s="8">
        <v>57150</v>
      </c>
      <c r="P6" s="9">
        <v>112160</v>
      </c>
      <c r="Q6" s="8"/>
      <c r="R6" s="8">
        <v>100870</v>
      </c>
      <c r="S6" s="8">
        <v>132530</v>
      </c>
      <c r="T6" s="8">
        <v>81510</v>
      </c>
      <c r="U6" s="36">
        <v>65320</v>
      </c>
      <c r="V6" s="8">
        <v>71640</v>
      </c>
      <c r="W6" s="8">
        <v>92910</v>
      </c>
      <c r="X6" s="8"/>
      <c r="Y6" s="8">
        <v>97160</v>
      </c>
      <c r="Z6" s="8">
        <v>145210</v>
      </c>
      <c r="AA6" s="30">
        <v>67000</v>
      </c>
      <c r="AB6" s="8">
        <v>67360</v>
      </c>
      <c r="AC6" s="8">
        <v>73290</v>
      </c>
      <c r="AD6" s="8">
        <v>110850</v>
      </c>
      <c r="AE6" s="8"/>
      <c r="AF6" s="8">
        <v>71210</v>
      </c>
    </row>
    <row r="7" spans="1:32" x14ac:dyDescent="0.25">
      <c r="A7" s="37" t="s">
        <v>2</v>
      </c>
      <c r="B7" s="42">
        <v>360</v>
      </c>
      <c r="C7" s="8"/>
      <c r="D7" s="42">
        <v>370</v>
      </c>
      <c r="E7" s="42">
        <v>460</v>
      </c>
      <c r="F7" s="42">
        <v>480</v>
      </c>
      <c r="G7" s="42">
        <v>520</v>
      </c>
      <c r="H7" s="42">
        <v>620</v>
      </c>
      <c r="I7" s="42">
        <v>1010</v>
      </c>
      <c r="J7" s="8"/>
      <c r="K7" s="10">
        <v>390</v>
      </c>
      <c r="L7" s="10">
        <v>440</v>
      </c>
      <c r="M7" s="10">
        <v>570</v>
      </c>
      <c r="N7" s="8">
        <v>470</v>
      </c>
      <c r="O7" s="8">
        <v>2500</v>
      </c>
      <c r="P7" s="9">
        <v>4560</v>
      </c>
      <c r="Q7" s="8"/>
      <c r="R7" s="8">
        <v>480</v>
      </c>
      <c r="S7" s="8">
        <v>370</v>
      </c>
      <c r="T7" s="8">
        <v>960</v>
      </c>
      <c r="U7" s="26">
        <v>850</v>
      </c>
      <c r="V7" s="8">
        <v>520</v>
      </c>
      <c r="W7" s="8">
        <v>340</v>
      </c>
      <c r="X7" s="8"/>
      <c r="Y7" s="8">
        <v>580</v>
      </c>
      <c r="Z7" s="8">
        <v>680</v>
      </c>
      <c r="AA7" s="8">
        <v>520</v>
      </c>
      <c r="AB7" s="8">
        <v>860</v>
      </c>
      <c r="AC7" s="8">
        <v>1950</v>
      </c>
      <c r="AD7" s="8">
        <v>270</v>
      </c>
      <c r="AE7" s="8"/>
      <c r="AF7" s="8">
        <v>310</v>
      </c>
    </row>
    <row r="8" spans="1:32" x14ac:dyDescent="0.25">
      <c r="A8" s="7" t="s">
        <v>3</v>
      </c>
      <c r="B8" s="30"/>
      <c r="C8" s="8"/>
      <c r="D8" s="30"/>
      <c r="E8" s="30"/>
      <c r="F8" s="30"/>
      <c r="G8" s="30">
        <v>711750</v>
      </c>
      <c r="H8" s="30">
        <v>705600</v>
      </c>
      <c r="I8" s="30"/>
      <c r="J8" s="8"/>
      <c r="K8" s="8">
        <v>352800</v>
      </c>
      <c r="L8" s="8">
        <v>806400</v>
      </c>
      <c r="M8" s="8">
        <v>252000</v>
      </c>
      <c r="N8" s="8">
        <v>403200</v>
      </c>
      <c r="O8" s="8">
        <v>403200</v>
      </c>
      <c r="Q8" s="8"/>
      <c r="R8" s="8">
        <v>806400</v>
      </c>
      <c r="S8" s="8">
        <v>453600</v>
      </c>
      <c r="T8" s="8">
        <v>907200</v>
      </c>
      <c r="U8" s="25" t="s">
        <v>23</v>
      </c>
      <c r="V8" s="8">
        <v>289800</v>
      </c>
      <c r="W8" s="8"/>
      <c r="X8" s="8"/>
      <c r="Y8" s="8">
        <v>806400</v>
      </c>
      <c r="Z8" s="44">
        <v>453600</v>
      </c>
      <c r="AA8" s="44">
        <v>403200</v>
      </c>
      <c r="AB8" s="44">
        <f>403200+151700</f>
        <v>554900</v>
      </c>
      <c r="AC8" s="45"/>
      <c r="AD8" s="8"/>
      <c r="AE8" s="8"/>
      <c r="AF8" s="8">
        <v>403200</v>
      </c>
    </row>
    <row r="9" spans="1:32" ht="15.75" thickBot="1" x14ac:dyDescent="0.3">
      <c r="A9" s="14" t="s">
        <v>4</v>
      </c>
      <c r="B9" s="43"/>
      <c r="C9" s="8"/>
      <c r="D9" s="30"/>
      <c r="E9" s="30"/>
      <c r="F9" s="30"/>
      <c r="G9" s="30"/>
      <c r="H9" s="30"/>
      <c r="I9" s="30"/>
      <c r="J9" s="8"/>
      <c r="K9" s="8">
        <v>20000</v>
      </c>
      <c r="L9" s="8">
        <v>30000</v>
      </c>
      <c r="M9" s="8">
        <v>20000</v>
      </c>
      <c r="N9" s="8">
        <v>40000</v>
      </c>
      <c r="O9" s="8">
        <v>30000</v>
      </c>
      <c r="P9" s="8"/>
      <c r="Q9" s="8"/>
      <c r="R9" s="30">
        <v>30000</v>
      </c>
      <c r="S9" s="30">
        <v>0</v>
      </c>
      <c r="T9" s="30">
        <v>42000</v>
      </c>
      <c r="U9" s="25" t="s">
        <v>23</v>
      </c>
      <c r="V9" s="33" t="s">
        <v>29</v>
      </c>
      <c r="W9" s="33" t="s">
        <v>29</v>
      </c>
      <c r="X9" s="8"/>
      <c r="Y9" s="8">
        <v>40000</v>
      </c>
      <c r="Z9" s="8">
        <v>30000</v>
      </c>
      <c r="AA9" s="8">
        <v>0</v>
      </c>
      <c r="AB9" s="8">
        <v>30000</v>
      </c>
      <c r="AC9" s="8">
        <v>0</v>
      </c>
      <c r="AD9" s="8"/>
      <c r="AE9" s="8"/>
      <c r="AF9" s="8"/>
    </row>
    <row r="10" spans="1:32" x14ac:dyDescent="0.25">
      <c r="A10" s="17"/>
      <c r="B10" s="18" t="s">
        <v>9</v>
      </c>
    </row>
    <row r="11" spans="1:32" x14ac:dyDescent="0.25">
      <c r="A11" s="38" t="s">
        <v>31</v>
      </c>
      <c r="B11" s="12">
        <f t="shared" ref="B11:B16" si="0">SUM(B4:AF4)</f>
        <v>96250</v>
      </c>
    </row>
    <row r="12" spans="1:32" x14ac:dyDescent="0.25">
      <c r="A12" s="38" t="s">
        <v>0</v>
      </c>
      <c r="B12" s="12">
        <f t="shared" si="0"/>
        <v>4637870</v>
      </c>
    </row>
    <row r="13" spans="1:32" x14ac:dyDescent="0.25">
      <c r="A13" s="15" t="s">
        <v>1</v>
      </c>
      <c r="B13" s="12">
        <f t="shared" si="0"/>
        <v>2510330</v>
      </c>
    </row>
    <row r="14" spans="1:32" x14ac:dyDescent="0.25">
      <c r="A14" s="15" t="s">
        <v>2</v>
      </c>
      <c r="B14" s="12">
        <f t="shared" si="0"/>
        <v>21440</v>
      </c>
    </row>
    <row r="15" spans="1:32" x14ac:dyDescent="0.25">
      <c r="A15" s="15" t="s">
        <v>3</v>
      </c>
      <c r="B15" s="12">
        <f t="shared" si="0"/>
        <v>8713250</v>
      </c>
    </row>
    <row r="16" spans="1:32" ht="15.75" thickBot="1" x14ac:dyDescent="0.3">
      <c r="A16" s="4" t="s">
        <v>4</v>
      </c>
      <c r="B16" s="16">
        <f t="shared" si="0"/>
        <v>312000</v>
      </c>
    </row>
    <row r="18" spans="1:11" ht="15.75" thickBot="1" x14ac:dyDescent="0.3"/>
    <row r="19" spans="1:11" ht="15.75" thickBot="1" x14ac:dyDescent="0.3">
      <c r="A19" s="111" t="s">
        <v>24</v>
      </c>
      <c r="B19" s="112"/>
      <c r="C19" s="29" t="s">
        <v>28</v>
      </c>
    </row>
    <row r="20" spans="1:11" x14ac:dyDescent="0.25">
      <c r="A20" s="2" t="s">
        <v>5</v>
      </c>
      <c r="B20" s="11">
        <v>100800</v>
      </c>
      <c r="C20" s="11">
        <f>B20/B22</f>
        <v>8</v>
      </c>
    </row>
    <row r="21" spans="1:11" x14ac:dyDescent="0.25">
      <c r="A21" s="3" t="s">
        <v>6</v>
      </c>
      <c r="B21" s="12">
        <v>50400</v>
      </c>
      <c r="C21" s="12">
        <f>B21/B22</f>
        <v>4</v>
      </c>
    </row>
    <row r="22" spans="1:11" x14ac:dyDescent="0.25">
      <c r="A22" s="3" t="s">
        <v>7</v>
      </c>
      <c r="B22" s="12">
        <v>12600</v>
      </c>
      <c r="C22" s="12">
        <v>1</v>
      </c>
    </row>
    <row r="23" spans="1:11" ht="15.75" thickBot="1" x14ac:dyDescent="0.3">
      <c r="A23" s="4" t="s">
        <v>4</v>
      </c>
      <c r="B23" s="13">
        <v>10000</v>
      </c>
      <c r="C23" s="13">
        <v>1</v>
      </c>
    </row>
    <row r="24" spans="1:11" ht="15.75" thickBot="1" x14ac:dyDescent="0.3">
      <c r="A24" s="31" t="s">
        <v>4</v>
      </c>
      <c r="B24" s="32">
        <v>6000</v>
      </c>
      <c r="C24" s="13">
        <v>1</v>
      </c>
      <c r="H24" s="6"/>
    </row>
    <row r="26" spans="1:11" ht="16.5" thickBot="1" x14ac:dyDescent="0.3">
      <c r="K26" s="5"/>
    </row>
    <row r="27" spans="1:11" ht="15.75" thickBot="1" x14ac:dyDescent="0.3">
      <c r="A27" s="113" t="s">
        <v>10</v>
      </c>
      <c r="B27" s="114"/>
      <c r="C27" s="115"/>
      <c r="D27" s="29" t="s">
        <v>30</v>
      </c>
    </row>
    <row r="28" spans="1:11" x14ac:dyDescent="0.25">
      <c r="A28" s="21" t="s">
        <v>11</v>
      </c>
      <c r="B28" s="19" t="s">
        <v>12</v>
      </c>
      <c r="C28" s="20">
        <v>7.2050000000000001</v>
      </c>
      <c r="D28" s="34"/>
    </row>
    <row r="29" spans="1:11" ht="15.75" thickBot="1" x14ac:dyDescent="0.3">
      <c r="A29" s="22"/>
      <c r="B29" s="27" t="s">
        <v>13</v>
      </c>
      <c r="C29" s="28">
        <v>6.46</v>
      </c>
      <c r="D29" s="35"/>
    </row>
    <row r="30" spans="1:11" x14ac:dyDescent="0.25">
      <c r="A30" s="21" t="s">
        <v>25</v>
      </c>
      <c r="B30" s="105" t="s">
        <v>26</v>
      </c>
      <c r="C30" s="107">
        <v>1.03</v>
      </c>
      <c r="D30" s="109">
        <v>4.12</v>
      </c>
    </row>
    <row r="31" spans="1:11" ht="15.75" thickBot="1" x14ac:dyDescent="0.3">
      <c r="A31" s="22" t="s">
        <v>27</v>
      </c>
      <c r="B31" s="106"/>
      <c r="C31" s="108"/>
      <c r="D31" s="110"/>
      <c r="H31" s="6"/>
    </row>
  </sheetData>
  <mergeCells count="7">
    <mergeCell ref="A2:A3"/>
    <mergeCell ref="A1:AF1"/>
    <mergeCell ref="B30:B31"/>
    <mergeCell ref="C30:C31"/>
    <mergeCell ref="D30:D31"/>
    <mergeCell ref="A19:B19"/>
    <mergeCell ref="A27:C27"/>
  </mergeCells>
  <phoneticPr fontId="4" type="noConversion"/>
  <pageMargins left="0.511811024" right="0.511811024" top="0.78740157499999996" bottom="0.78740157499999996" header="0.31496062000000002" footer="0.31496062000000002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0EC4B-97D9-46E8-AB30-5DCDD48057F9}">
  <dimension ref="A1:AF47"/>
  <sheetViews>
    <sheetView topLeftCell="A22" zoomScale="115" zoomScaleNormal="115" workbookViewId="0">
      <pane xSplit="1" topLeftCell="B1" activePane="topRight" state="frozen"/>
      <selection pane="topRight" activeCell="B10" sqref="B10"/>
    </sheetView>
  </sheetViews>
  <sheetFormatPr defaultRowHeight="15" x14ac:dyDescent="0.25"/>
  <cols>
    <col min="1" max="1" width="24.7109375" customWidth="1"/>
    <col min="2" max="2" width="11.140625" customWidth="1"/>
  </cols>
  <sheetData>
    <row r="1" spans="1:32" x14ac:dyDescent="0.25">
      <c r="A1" s="124" t="s">
        <v>32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</row>
    <row r="2" spans="1:32" x14ac:dyDescent="0.25">
      <c r="A2" s="126" t="s">
        <v>14</v>
      </c>
      <c r="B2" s="50">
        <v>1</v>
      </c>
      <c r="C2" s="50">
        <v>2</v>
      </c>
      <c r="D2" s="50">
        <v>3</v>
      </c>
      <c r="E2" s="50">
        <v>4</v>
      </c>
      <c r="F2" s="50">
        <v>5</v>
      </c>
      <c r="G2" s="50">
        <v>6</v>
      </c>
      <c r="H2" s="50">
        <v>7</v>
      </c>
      <c r="I2" s="50">
        <v>8</v>
      </c>
      <c r="J2" s="50">
        <v>9</v>
      </c>
      <c r="K2" s="50">
        <v>10</v>
      </c>
      <c r="L2" s="50">
        <v>11</v>
      </c>
      <c r="M2" s="50">
        <v>12</v>
      </c>
      <c r="N2" s="50">
        <v>13</v>
      </c>
      <c r="O2" s="50">
        <v>14</v>
      </c>
      <c r="P2" s="51">
        <v>15</v>
      </c>
      <c r="Q2" s="51">
        <v>16</v>
      </c>
      <c r="R2" s="51">
        <v>17</v>
      </c>
      <c r="S2" s="51">
        <v>18</v>
      </c>
      <c r="T2" s="51">
        <v>19</v>
      </c>
      <c r="U2" s="51">
        <v>20</v>
      </c>
      <c r="V2" s="51">
        <v>21</v>
      </c>
      <c r="W2" s="51">
        <v>22</v>
      </c>
      <c r="X2" s="51">
        <v>23</v>
      </c>
      <c r="Y2" s="51">
        <v>24</v>
      </c>
      <c r="Z2" s="51">
        <v>25</v>
      </c>
      <c r="AA2" s="51">
        <v>26</v>
      </c>
      <c r="AB2" s="51">
        <v>27</v>
      </c>
      <c r="AC2" s="51">
        <v>28</v>
      </c>
      <c r="AD2" s="51">
        <v>29</v>
      </c>
      <c r="AE2" s="51">
        <v>30</v>
      </c>
      <c r="AF2" s="51">
        <v>31</v>
      </c>
    </row>
    <row r="3" spans="1:32" x14ac:dyDescent="0.25">
      <c r="A3" s="127"/>
      <c r="B3" s="50" t="s">
        <v>18</v>
      </c>
      <c r="C3" s="50" t="s">
        <v>19</v>
      </c>
      <c r="D3" s="50" t="s">
        <v>20</v>
      </c>
      <c r="E3" s="50" t="s">
        <v>21</v>
      </c>
      <c r="F3" s="50" t="s">
        <v>22</v>
      </c>
      <c r="G3" s="50" t="s">
        <v>16</v>
      </c>
      <c r="H3" s="50" t="s">
        <v>17</v>
      </c>
      <c r="I3" s="50" t="s">
        <v>18</v>
      </c>
      <c r="J3" s="50" t="s">
        <v>19</v>
      </c>
      <c r="K3" s="50" t="s">
        <v>20</v>
      </c>
      <c r="L3" s="50" t="s">
        <v>21</v>
      </c>
      <c r="M3" s="50" t="s">
        <v>22</v>
      </c>
      <c r="N3" s="50" t="s">
        <v>16</v>
      </c>
      <c r="O3" s="50" t="s">
        <v>17</v>
      </c>
      <c r="P3" s="50" t="s">
        <v>18</v>
      </c>
      <c r="Q3" s="50" t="s">
        <v>19</v>
      </c>
      <c r="R3" s="50" t="s">
        <v>20</v>
      </c>
      <c r="S3" s="50" t="s">
        <v>21</v>
      </c>
      <c r="T3" s="50" t="s">
        <v>22</v>
      </c>
      <c r="U3" s="50" t="s">
        <v>16</v>
      </c>
      <c r="V3" s="50" t="s">
        <v>17</v>
      </c>
      <c r="W3" s="50" t="s">
        <v>18</v>
      </c>
      <c r="X3" s="50" t="s">
        <v>19</v>
      </c>
      <c r="Y3" s="50" t="s">
        <v>20</v>
      </c>
      <c r="Z3" s="50" t="s">
        <v>21</v>
      </c>
      <c r="AA3" s="50" t="s">
        <v>22</v>
      </c>
      <c r="AB3" s="50" t="s">
        <v>16</v>
      </c>
      <c r="AC3" s="50" t="s">
        <v>17</v>
      </c>
      <c r="AD3" s="50" t="s">
        <v>18</v>
      </c>
      <c r="AE3" s="50" t="s">
        <v>19</v>
      </c>
      <c r="AF3" s="50"/>
    </row>
    <row r="4" spans="1:32" x14ac:dyDescent="0.25">
      <c r="A4" s="38" t="s">
        <v>31</v>
      </c>
      <c r="B4" s="36">
        <v>7400</v>
      </c>
      <c r="C4" s="36">
        <v>2290</v>
      </c>
      <c r="D4" s="36">
        <v>27210</v>
      </c>
      <c r="E4" s="36">
        <v>4390</v>
      </c>
      <c r="F4" s="36">
        <v>1240</v>
      </c>
      <c r="G4" s="36"/>
      <c r="H4" s="74" t="s">
        <v>23</v>
      </c>
      <c r="I4" s="36">
        <v>4820</v>
      </c>
      <c r="J4" s="36">
        <v>15570</v>
      </c>
      <c r="K4" s="36">
        <v>1660</v>
      </c>
      <c r="L4" s="46">
        <v>16310</v>
      </c>
      <c r="M4" s="1"/>
      <c r="N4" s="1"/>
      <c r="O4" s="8">
        <v>4230</v>
      </c>
      <c r="P4" s="8">
        <v>10240</v>
      </c>
      <c r="Q4" s="8">
        <v>2880</v>
      </c>
      <c r="R4" s="46">
        <v>7900</v>
      </c>
      <c r="S4" s="46">
        <v>4420</v>
      </c>
      <c r="T4" s="46">
        <v>13220</v>
      </c>
      <c r="U4" s="36"/>
      <c r="V4" s="46">
        <v>11440</v>
      </c>
      <c r="W4" s="46">
        <v>2770</v>
      </c>
      <c r="X4" s="8">
        <v>11640</v>
      </c>
      <c r="Y4" s="36">
        <v>3260</v>
      </c>
      <c r="Z4" s="36">
        <v>23410</v>
      </c>
      <c r="AA4" s="36">
        <v>1470</v>
      </c>
      <c r="AB4" s="36"/>
      <c r="AC4" s="36">
        <v>4740</v>
      </c>
      <c r="AD4" s="36">
        <v>11450</v>
      </c>
      <c r="AE4" s="8">
        <v>4950</v>
      </c>
      <c r="AF4" s="49"/>
    </row>
    <row r="5" spans="1:32" x14ac:dyDescent="0.25">
      <c r="A5" s="39" t="s">
        <v>0</v>
      </c>
      <c r="B5" s="36">
        <v>203220</v>
      </c>
      <c r="C5" s="8">
        <v>160240</v>
      </c>
      <c r="D5" s="36">
        <v>155770</v>
      </c>
      <c r="E5" s="36">
        <v>147150</v>
      </c>
      <c r="F5" s="36">
        <v>98380</v>
      </c>
      <c r="G5" s="36"/>
      <c r="H5" s="74" t="s">
        <v>23</v>
      </c>
      <c r="I5" s="36">
        <v>224420</v>
      </c>
      <c r="J5" s="8">
        <v>154910</v>
      </c>
      <c r="K5" s="8">
        <v>163080</v>
      </c>
      <c r="L5" s="36">
        <v>148320</v>
      </c>
      <c r="M5" s="8"/>
      <c r="N5" s="8"/>
      <c r="O5" s="8">
        <v>181980</v>
      </c>
      <c r="P5" s="8">
        <v>172160</v>
      </c>
      <c r="Q5" s="8">
        <v>118500</v>
      </c>
      <c r="R5" s="40">
        <v>179190</v>
      </c>
      <c r="S5" s="36">
        <v>125350</v>
      </c>
      <c r="T5" s="36">
        <v>54020</v>
      </c>
      <c r="U5" s="36"/>
      <c r="V5" s="36">
        <v>290700</v>
      </c>
      <c r="W5" s="36">
        <v>241680</v>
      </c>
      <c r="X5" s="8">
        <v>228200</v>
      </c>
      <c r="Y5" s="36">
        <v>235220</v>
      </c>
      <c r="Z5" s="36">
        <v>326450</v>
      </c>
      <c r="AA5" s="36">
        <v>80060</v>
      </c>
      <c r="AB5" s="40"/>
      <c r="AC5" s="36">
        <v>203590</v>
      </c>
      <c r="AD5" s="36">
        <v>206570</v>
      </c>
      <c r="AE5" s="8">
        <v>171260</v>
      </c>
      <c r="AF5" s="49"/>
    </row>
    <row r="6" spans="1:32" x14ac:dyDescent="0.25">
      <c r="A6" s="7" t="s">
        <v>1</v>
      </c>
      <c r="B6" s="36">
        <v>170020</v>
      </c>
      <c r="C6" s="8">
        <v>96730</v>
      </c>
      <c r="D6" s="36">
        <v>98520</v>
      </c>
      <c r="E6" s="36">
        <v>96940</v>
      </c>
      <c r="F6" s="36">
        <v>105120</v>
      </c>
      <c r="G6" s="36"/>
      <c r="H6" s="74">
        <v>94920</v>
      </c>
      <c r="I6" s="36">
        <v>119340</v>
      </c>
      <c r="J6" s="8">
        <v>115580</v>
      </c>
      <c r="K6" s="8">
        <v>87050</v>
      </c>
      <c r="L6" s="36">
        <v>101530</v>
      </c>
      <c r="M6" s="8"/>
      <c r="N6" s="8"/>
      <c r="O6" s="8">
        <v>95630</v>
      </c>
      <c r="P6" s="9">
        <v>153720</v>
      </c>
      <c r="Q6" s="8">
        <v>80250</v>
      </c>
      <c r="R6" s="36">
        <v>103290</v>
      </c>
      <c r="S6" s="36">
        <v>67600</v>
      </c>
      <c r="T6" s="36">
        <v>113370</v>
      </c>
      <c r="U6" s="36"/>
      <c r="V6" s="36">
        <v>90830</v>
      </c>
      <c r="W6" s="36">
        <v>142100</v>
      </c>
      <c r="X6" s="8">
        <v>67060</v>
      </c>
      <c r="Y6" s="36">
        <v>85360</v>
      </c>
      <c r="Z6" s="36">
        <v>98480</v>
      </c>
      <c r="AA6" s="36">
        <v>78770</v>
      </c>
      <c r="AB6" s="36"/>
      <c r="AC6" s="36">
        <v>89170</v>
      </c>
      <c r="AD6" s="36">
        <v>142000</v>
      </c>
      <c r="AE6" s="8">
        <v>75050</v>
      </c>
      <c r="AF6" s="49"/>
    </row>
    <row r="7" spans="1:32" x14ac:dyDescent="0.25">
      <c r="A7" s="48" t="s">
        <v>40</v>
      </c>
      <c r="B7" s="36">
        <f>(B6*(1-($B$46)))</f>
        <v>151317.79999999999</v>
      </c>
      <c r="C7" s="36">
        <f>(C6*(1-($B$46)))</f>
        <v>86089.7</v>
      </c>
      <c r="D7" s="36">
        <f>(D6*(1-($B$46)))</f>
        <v>87682.8</v>
      </c>
      <c r="E7" s="36">
        <f>(E6*(1-($B$46)))</f>
        <v>86276.6</v>
      </c>
      <c r="F7" s="36">
        <f>(F6*(1-($B$46)))</f>
        <v>93556.800000000003</v>
      </c>
      <c r="G7" s="36"/>
      <c r="H7" s="74">
        <f t="shared" ref="H7:L7" si="0">(H6*(1-($B$46)))</f>
        <v>84478.8</v>
      </c>
      <c r="I7" s="36">
        <f t="shared" si="0"/>
        <v>106212.6</v>
      </c>
      <c r="J7" s="36">
        <f t="shared" si="0"/>
        <v>102866.2</v>
      </c>
      <c r="K7" s="36">
        <f t="shared" si="0"/>
        <v>77474.5</v>
      </c>
      <c r="L7" s="36">
        <f t="shared" si="0"/>
        <v>90361.7</v>
      </c>
      <c r="M7" s="36"/>
      <c r="N7" s="36"/>
      <c r="O7" s="82">
        <v>95630</v>
      </c>
      <c r="P7" s="83">
        <v>153720</v>
      </c>
      <c r="Q7" s="82">
        <f t="shared" ref="Q7:R7" si="1">(Q6-(Q9-Q10))</f>
        <v>80161.403999999995</v>
      </c>
      <c r="R7" s="82">
        <f t="shared" si="1"/>
        <v>103199.15</v>
      </c>
      <c r="S7" s="82">
        <f>(S6-(S9-S10))</f>
        <v>67511.127999999997</v>
      </c>
      <c r="T7" s="36">
        <v>113370</v>
      </c>
      <c r="U7" s="36"/>
      <c r="V7" s="36">
        <f>(V6-(V9-V10))</f>
        <v>88599.2</v>
      </c>
      <c r="W7" s="36">
        <f t="shared" ref="W7:Y7" si="2">(W6-(W9-W10))</f>
        <v>139964.9</v>
      </c>
      <c r="X7" s="36">
        <f t="shared" si="2"/>
        <v>65192.2</v>
      </c>
      <c r="Y7" s="36">
        <f t="shared" si="2"/>
        <v>82919.100000000006</v>
      </c>
      <c r="Z7" s="36">
        <f>(Z6-(Z9-Z10))</f>
        <v>96597.9</v>
      </c>
      <c r="AA7" s="36"/>
      <c r="AB7" s="36"/>
      <c r="AC7" s="36">
        <f t="shared" ref="AC7:AE7" si="3">(AC6-(AC9-AC10))</f>
        <v>86962.3</v>
      </c>
      <c r="AD7" s="36">
        <f t="shared" si="3"/>
        <v>139952.9</v>
      </c>
      <c r="AE7" s="36">
        <f t="shared" si="3"/>
        <v>72743.3</v>
      </c>
      <c r="AF7" s="49"/>
    </row>
    <row r="8" spans="1:32" x14ac:dyDescent="0.25">
      <c r="A8" s="48" t="s">
        <v>2</v>
      </c>
      <c r="B8" s="47">
        <v>450</v>
      </c>
      <c r="C8" s="8">
        <v>560</v>
      </c>
      <c r="D8" s="47">
        <v>510</v>
      </c>
      <c r="E8" s="47">
        <v>590</v>
      </c>
      <c r="F8" s="47">
        <v>380</v>
      </c>
      <c r="G8" s="47"/>
      <c r="H8" s="75">
        <v>2810</v>
      </c>
      <c r="I8" s="47">
        <v>340</v>
      </c>
      <c r="J8" s="8">
        <v>420</v>
      </c>
      <c r="K8" s="10">
        <v>690</v>
      </c>
      <c r="L8" s="47">
        <v>670</v>
      </c>
      <c r="M8" s="10"/>
      <c r="N8" s="8"/>
      <c r="O8" s="8">
        <v>890</v>
      </c>
      <c r="P8" s="9">
        <v>560</v>
      </c>
      <c r="Q8" s="8">
        <v>500</v>
      </c>
      <c r="R8" s="36">
        <v>0</v>
      </c>
      <c r="S8" s="36">
        <v>1680</v>
      </c>
      <c r="T8" s="36"/>
      <c r="U8" s="26"/>
      <c r="V8" s="36">
        <v>440</v>
      </c>
      <c r="W8" s="36">
        <v>420</v>
      </c>
      <c r="X8" s="8">
        <v>510</v>
      </c>
      <c r="Y8" s="36">
        <v>370</v>
      </c>
      <c r="Z8" s="36">
        <v>3020</v>
      </c>
      <c r="AA8" s="36">
        <v>640</v>
      </c>
      <c r="AB8" s="36"/>
      <c r="AC8" s="36">
        <v>400</v>
      </c>
      <c r="AD8" s="36">
        <v>920</v>
      </c>
      <c r="AE8" s="8">
        <v>230</v>
      </c>
      <c r="AF8" s="49"/>
    </row>
    <row r="9" spans="1:32" x14ac:dyDescent="0.25">
      <c r="A9" s="84" t="s">
        <v>42</v>
      </c>
      <c r="B9" s="47">
        <v>21490</v>
      </c>
      <c r="C9" s="8">
        <v>19540</v>
      </c>
      <c r="D9" s="47">
        <v>23760</v>
      </c>
      <c r="E9" s="47">
        <v>21110</v>
      </c>
      <c r="F9" s="47"/>
      <c r="G9" s="47"/>
      <c r="H9" s="76" t="s">
        <v>23</v>
      </c>
      <c r="I9" s="47">
        <v>19080</v>
      </c>
      <c r="J9" s="47">
        <v>22440</v>
      </c>
      <c r="K9" s="8">
        <v>19090</v>
      </c>
      <c r="L9" s="47">
        <v>21720</v>
      </c>
      <c r="M9" s="10"/>
      <c r="N9" s="8"/>
      <c r="O9" s="8">
        <v>26570</v>
      </c>
      <c r="P9" s="8">
        <v>21070</v>
      </c>
      <c r="Q9" s="8">
        <v>19260</v>
      </c>
      <c r="R9" s="36">
        <v>19750</v>
      </c>
      <c r="S9" s="36">
        <v>19320</v>
      </c>
      <c r="T9" s="36"/>
      <c r="U9" s="26"/>
      <c r="V9" s="36">
        <v>20280</v>
      </c>
      <c r="W9" s="36">
        <v>19410</v>
      </c>
      <c r="X9" s="8">
        <v>16980</v>
      </c>
      <c r="Y9" s="36">
        <v>22190</v>
      </c>
      <c r="Z9" s="36">
        <v>17110</v>
      </c>
      <c r="AA9" s="36"/>
      <c r="AB9" s="36"/>
      <c r="AC9" s="36">
        <v>20070</v>
      </c>
      <c r="AD9" s="36">
        <v>18610</v>
      </c>
      <c r="AE9" s="8">
        <v>20970</v>
      </c>
      <c r="AF9" s="49"/>
    </row>
    <row r="10" spans="1:32" x14ac:dyDescent="0.25">
      <c r="A10" s="48" t="s">
        <v>43</v>
      </c>
      <c r="B10" s="47">
        <f>(B9*(1-($B$46)))</f>
        <v>19126.099999999999</v>
      </c>
      <c r="C10" s="47">
        <f t="shared" ref="C10:L10" si="4">(C9*(1-($B$46)))</f>
        <v>17390.599999999999</v>
      </c>
      <c r="D10" s="47">
        <f t="shared" si="4"/>
        <v>21146.400000000001</v>
      </c>
      <c r="E10" s="47">
        <f t="shared" si="4"/>
        <v>18787.900000000001</v>
      </c>
      <c r="F10" s="47">
        <f t="shared" si="4"/>
        <v>0</v>
      </c>
      <c r="G10" s="47"/>
      <c r="H10" s="77" t="s">
        <v>23</v>
      </c>
      <c r="I10" s="47">
        <f t="shared" si="4"/>
        <v>16981.2</v>
      </c>
      <c r="J10" s="47">
        <f t="shared" si="4"/>
        <v>19971.599999999999</v>
      </c>
      <c r="K10" s="47">
        <f t="shared" si="4"/>
        <v>16990.099999999999</v>
      </c>
      <c r="L10" s="47">
        <f t="shared" si="4"/>
        <v>19330.8</v>
      </c>
      <c r="M10" s="10"/>
      <c r="N10" s="8"/>
      <c r="O10" s="69" t="s">
        <v>52</v>
      </c>
      <c r="P10" s="69" t="s">
        <v>52</v>
      </c>
      <c r="Q10" s="47">
        <f>(Q9*(1-($E$46)))</f>
        <v>19171.403999999999</v>
      </c>
      <c r="R10" s="47">
        <f t="shared" ref="R10:S10" si="5">(R9*(1-($E$46)))</f>
        <v>19659.149999999998</v>
      </c>
      <c r="S10" s="47">
        <f t="shared" si="5"/>
        <v>19231.128000000001</v>
      </c>
      <c r="T10" s="47">
        <f t="shared" ref="T10" si="6">(T9*(1-($E$46)))</f>
        <v>0</v>
      </c>
      <c r="U10" s="47"/>
      <c r="V10" s="47">
        <f>(V9*(1-($C$46)))</f>
        <v>18049.2</v>
      </c>
      <c r="W10" s="47">
        <f t="shared" ref="W10:AE10" si="7">(W9*(1-($C$46)))</f>
        <v>17274.900000000001</v>
      </c>
      <c r="X10" s="47">
        <f t="shared" si="7"/>
        <v>15112.2</v>
      </c>
      <c r="Y10" s="47">
        <f t="shared" si="7"/>
        <v>19749.099999999999</v>
      </c>
      <c r="Z10" s="47">
        <f t="shared" si="7"/>
        <v>15227.9</v>
      </c>
      <c r="AA10" s="47"/>
      <c r="AB10" s="47"/>
      <c r="AC10" s="47">
        <f t="shared" si="7"/>
        <v>17862.3</v>
      </c>
      <c r="AD10" s="47">
        <f t="shared" si="7"/>
        <v>16562.900000000001</v>
      </c>
      <c r="AE10" s="47">
        <f t="shared" si="7"/>
        <v>18663.3</v>
      </c>
      <c r="AF10" s="49"/>
    </row>
    <row r="11" spans="1:32" x14ac:dyDescent="0.25">
      <c r="A11" s="7" t="s">
        <v>3</v>
      </c>
      <c r="B11" s="36">
        <v>604800</v>
      </c>
      <c r="C11" s="8">
        <v>126000</v>
      </c>
      <c r="D11" s="36">
        <v>403200</v>
      </c>
      <c r="E11" s="36">
        <v>201600</v>
      </c>
      <c r="F11" s="36"/>
      <c r="G11" s="36"/>
      <c r="H11" s="74" t="s">
        <v>23</v>
      </c>
      <c r="I11" s="36">
        <v>403200</v>
      </c>
      <c r="J11" s="36">
        <v>403200</v>
      </c>
      <c r="K11" s="8">
        <v>181440</v>
      </c>
      <c r="L11" s="36">
        <v>352800</v>
      </c>
      <c r="M11" s="8"/>
      <c r="N11" s="8"/>
      <c r="O11" s="33" t="s">
        <v>53</v>
      </c>
      <c r="P11" s="33" t="s">
        <v>53</v>
      </c>
      <c r="Q11" s="33" t="s">
        <v>53</v>
      </c>
      <c r="R11" s="33" t="s">
        <v>53</v>
      </c>
      <c r="S11" s="33" t="s">
        <v>53</v>
      </c>
      <c r="T11" s="36"/>
      <c r="U11" s="36"/>
      <c r="V11" s="36">
        <v>201600</v>
      </c>
      <c r="W11" s="36">
        <v>302400</v>
      </c>
      <c r="X11" s="33" t="s">
        <v>53</v>
      </c>
      <c r="Y11" s="33" t="s">
        <v>53</v>
      </c>
      <c r="Z11" s="33" t="s">
        <v>53</v>
      </c>
      <c r="AA11" s="36"/>
      <c r="AB11" s="36"/>
      <c r="AC11" s="33" t="s">
        <v>53</v>
      </c>
      <c r="AD11" s="33" t="s">
        <v>53</v>
      </c>
      <c r="AE11" s="44"/>
      <c r="AF11" s="49"/>
    </row>
    <row r="12" spans="1:32" x14ac:dyDescent="0.25">
      <c r="A12" s="73" t="s">
        <v>4</v>
      </c>
      <c r="B12" s="36"/>
      <c r="C12" s="8">
        <v>30000</v>
      </c>
      <c r="D12" s="1"/>
      <c r="E12" s="36">
        <v>30000</v>
      </c>
      <c r="F12" s="36"/>
      <c r="G12" s="36"/>
      <c r="H12" s="74" t="s">
        <v>23</v>
      </c>
      <c r="I12" s="36" t="s">
        <v>51</v>
      </c>
      <c r="J12" s="36" t="s">
        <v>51</v>
      </c>
      <c r="K12" s="36" t="s">
        <v>51</v>
      </c>
      <c r="L12" s="36" t="s">
        <v>51</v>
      </c>
      <c r="M12" s="36"/>
      <c r="N12" s="8"/>
      <c r="O12" s="36" t="s">
        <v>51</v>
      </c>
      <c r="P12" s="36" t="s">
        <v>51</v>
      </c>
      <c r="Q12" s="36" t="s">
        <v>51</v>
      </c>
      <c r="R12" s="36" t="s">
        <v>51</v>
      </c>
      <c r="S12" s="30">
        <v>20000</v>
      </c>
      <c r="T12" s="36"/>
      <c r="U12" s="36"/>
      <c r="V12" s="36"/>
      <c r="W12" s="36">
        <v>20000</v>
      </c>
      <c r="X12" s="8"/>
      <c r="Y12" s="36"/>
      <c r="Z12" s="33" t="s">
        <v>61</v>
      </c>
      <c r="AA12" s="36"/>
      <c r="AB12" s="36"/>
      <c r="AC12" s="44"/>
      <c r="AD12" s="44"/>
      <c r="AE12" s="44"/>
      <c r="AF12" s="49"/>
    </row>
    <row r="13" spans="1:32" ht="15.75" thickBot="1" x14ac:dyDescent="0.3">
      <c r="A13" s="59"/>
      <c r="B13" s="60"/>
      <c r="C13" s="61"/>
      <c r="D13" s="62"/>
      <c r="E13" s="78">
        <v>273353</v>
      </c>
      <c r="F13" s="62"/>
      <c r="G13" s="62"/>
      <c r="H13" s="62"/>
      <c r="I13" s="62"/>
      <c r="J13" s="61"/>
      <c r="K13" s="61"/>
      <c r="L13" s="61"/>
      <c r="M13" s="61"/>
      <c r="N13" s="61"/>
      <c r="O13" s="72"/>
      <c r="P13" s="72"/>
      <c r="Q13" s="72"/>
      <c r="R13" s="62"/>
      <c r="S13" s="78">
        <v>273434</v>
      </c>
      <c r="T13" s="62"/>
      <c r="U13" s="62"/>
      <c r="V13" s="62"/>
      <c r="W13" s="78">
        <v>273455</v>
      </c>
      <c r="X13" s="61"/>
      <c r="Y13" s="62"/>
      <c r="Z13" s="62"/>
      <c r="AA13" s="62"/>
      <c r="AB13" s="62"/>
      <c r="AC13" s="62"/>
      <c r="AD13" s="62"/>
      <c r="AE13" s="61"/>
      <c r="AF13" s="63"/>
    </row>
    <row r="14" spans="1:32" ht="15.75" thickBot="1" x14ac:dyDescent="0.3">
      <c r="A14" s="17"/>
      <c r="B14" s="18" t="s">
        <v>9</v>
      </c>
      <c r="J14" s="121" t="s">
        <v>44</v>
      </c>
      <c r="K14" s="122"/>
      <c r="L14" s="123"/>
    </row>
    <row r="15" spans="1:32" x14ac:dyDescent="0.25">
      <c r="A15" s="38" t="s">
        <v>31</v>
      </c>
      <c r="B15" s="12">
        <f>SUM(B4:AF4)</f>
        <v>198910</v>
      </c>
      <c r="J15" s="128" t="s">
        <v>45</v>
      </c>
      <c r="K15" s="128"/>
      <c r="L15" s="128"/>
    </row>
    <row r="16" spans="1:32" x14ac:dyDescent="0.25">
      <c r="A16" s="38" t="s">
        <v>0</v>
      </c>
      <c r="B16" s="12">
        <f>SUM(B5:AF5)</f>
        <v>4270420</v>
      </c>
      <c r="J16" s="119" t="s">
        <v>46</v>
      </c>
      <c r="K16" s="119"/>
      <c r="L16" s="119"/>
      <c r="R16" s="131" t="s">
        <v>40</v>
      </c>
      <c r="S16" s="131"/>
      <c r="U16" s="132" t="s">
        <v>55</v>
      </c>
      <c r="V16" s="132"/>
      <c r="W16" s="132"/>
      <c r="X16" s="132"/>
    </row>
    <row r="17" spans="1:28" x14ac:dyDescent="0.25">
      <c r="A17" s="15" t="s">
        <v>1</v>
      </c>
      <c r="B17" s="12">
        <f>SUM(B6:AF6)</f>
        <v>2568430</v>
      </c>
      <c r="J17" s="120" t="s">
        <v>48</v>
      </c>
      <c r="K17" s="120"/>
      <c r="L17" s="120"/>
      <c r="R17" s="130" t="s">
        <v>54</v>
      </c>
      <c r="S17" s="130"/>
      <c r="U17" s="1" t="s">
        <v>58</v>
      </c>
      <c r="V17" s="133" t="s">
        <v>59</v>
      </c>
      <c r="W17" s="133"/>
      <c r="X17" s="133"/>
    </row>
    <row r="18" spans="1:28" x14ac:dyDescent="0.25">
      <c r="A18" s="7" t="s">
        <v>40</v>
      </c>
      <c r="B18" s="12">
        <f>SUM(B7:AF7)</f>
        <v>2352840.9819999994</v>
      </c>
      <c r="J18" s="119" t="s">
        <v>47</v>
      </c>
      <c r="K18" s="119"/>
      <c r="L18" s="119"/>
      <c r="R18" s="130"/>
      <c r="S18" s="130"/>
      <c r="U18" s="1" t="s">
        <v>56</v>
      </c>
      <c r="V18" s="133" t="s">
        <v>57</v>
      </c>
      <c r="W18" s="133"/>
      <c r="X18" s="133"/>
    </row>
    <row r="19" spans="1:28" x14ac:dyDescent="0.25">
      <c r="A19" s="15" t="s">
        <v>2</v>
      </c>
      <c r="B19" s="12">
        <f>SUM(B8:AF8)</f>
        <v>18000</v>
      </c>
      <c r="J19" s="129" t="s">
        <v>49</v>
      </c>
      <c r="K19" s="129"/>
      <c r="L19" s="129"/>
      <c r="R19" s="130"/>
      <c r="S19" s="130"/>
      <c r="AB19" s="85"/>
    </row>
    <row r="20" spans="1:28" x14ac:dyDescent="0.25">
      <c r="A20" s="15" t="s">
        <v>3</v>
      </c>
      <c r="B20" s="12">
        <f t="shared" ref="B20:B21" si="8">SUM(B11:AF11)</f>
        <v>3180240</v>
      </c>
      <c r="J20" s="119" t="s">
        <v>50</v>
      </c>
      <c r="K20" s="119"/>
      <c r="L20" s="119"/>
      <c r="R20" s="130"/>
      <c r="S20" s="130"/>
    </row>
    <row r="21" spans="1:28" ht="15.75" thickBot="1" x14ac:dyDescent="0.3">
      <c r="A21" s="4" t="s">
        <v>4</v>
      </c>
      <c r="B21" s="16">
        <f t="shared" si="8"/>
        <v>100000</v>
      </c>
      <c r="R21" s="130"/>
      <c r="S21" s="130"/>
    </row>
    <row r="22" spans="1:28" x14ac:dyDescent="0.25">
      <c r="R22" s="130"/>
      <c r="S22" s="130"/>
    </row>
    <row r="23" spans="1:28" ht="15.75" thickBot="1" x14ac:dyDescent="0.3">
      <c r="R23" s="130"/>
      <c r="S23" s="130"/>
    </row>
    <row r="24" spans="1:28" ht="15.75" thickBot="1" x14ac:dyDescent="0.3">
      <c r="A24" s="111" t="s">
        <v>24</v>
      </c>
      <c r="B24" s="112"/>
      <c r="C24" s="29" t="s">
        <v>28</v>
      </c>
    </row>
    <row r="25" spans="1:28" x14ac:dyDescent="0.25">
      <c r="A25" s="2" t="s">
        <v>5</v>
      </c>
      <c r="B25" s="11">
        <v>100800</v>
      </c>
      <c r="C25" s="11">
        <f>B25/B27</f>
        <v>8</v>
      </c>
    </row>
    <row r="26" spans="1:28" x14ac:dyDescent="0.25">
      <c r="A26" s="3" t="s">
        <v>6</v>
      </c>
      <c r="B26" s="12">
        <v>50400</v>
      </c>
      <c r="C26" s="12">
        <f>B26/B27</f>
        <v>4</v>
      </c>
    </row>
    <row r="27" spans="1:28" x14ac:dyDescent="0.25">
      <c r="A27" s="3" t="s">
        <v>7</v>
      </c>
      <c r="B27" s="12">
        <v>12600</v>
      </c>
      <c r="C27" s="12">
        <v>1</v>
      </c>
    </row>
    <row r="28" spans="1:28" ht="15.75" thickBot="1" x14ac:dyDescent="0.3">
      <c r="A28" s="4" t="s">
        <v>4</v>
      </c>
      <c r="B28" s="13">
        <v>10000</v>
      </c>
      <c r="C28" s="13">
        <v>1</v>
      </c>
    </row>
    <row r="29" spans="1:28" ht="15.75" thickBot="1" x14ac:dyDescent="0.3">
      <c r="A29" s="31" t="s">
        <v>4</v>
      </c>
      <c r="B29" s="32">
        <v>6000</v>
      </c>
      <c r="C29" s="13">
        <v>1</v>
      </c>
    </row>
    <row r="31" spans="1:28" ht="15.75" thickBot="1" x14ac:dyDescent="0.3"/>
    <row r="32" spans="1:28" ht="15.75" thickBot="1" x14ac:dyDescent="0.3">
      <c r="A32" s="113" t="s">
        <v>10</v>
      </c>
      <c r="B32" s="114"/>
      <c r="C32" s="115"/>
      <c r="D32" s="29" t="s">
        <v>30</v>
      </c>
    </row>
    <row r="33" spans="1:6" x14ac:dyDescent="0.25">
      <c r="A33" s="21" t="s">
        <v>11</v>
      </c>
      <c r="B33" s="19" t="s">
        <v>12</v>
      </c>
      <c r="C33" s="20">
        <v>7.2050000000000001</v>
      </c>
      <c r="D33" s="34"/>
    </row>
    <row r="34" spans="1:6" ht="15.75" thickBot="1" x14ac:dyDescent="0.3">
      <c r="A34" s="22"/>
      <c r="B34" s="27" t="s">
        <v>13</v>
      </c>
      <c r="C34" s="28">
        <v>6.46</v>
      </c>
      <c r="D34" s="35"/>
    </row>
    <row r="35" spans="1:6" x14ac:dyDescent="0.25">
      <c r="A35" s="21" t="s">
        <v>25</v>
      </c>
      <c r="B35" s="105" t="s">
        <v>26</v>
      </c>
      <c r="C35" s="107">
        <v>1.03</v>
      </c>
      <c r="D35" s="109">
        <v>4.12</v>
      </c>
    </row>
    <row r="36" spans="1:6" ht="15.75" thickBot="1" x14ac:dyDescent="0.3">
      <c r="A36" s="22" t="s">
        <v>27</v>
      </c>
      <c r="B36" s="106"/>
      <c r="C36" s="108"/>
      <c r="D36" s="110"/>
    </row>
    <row r="38" spans="1:6" ht="15.75" thickBot="1" x14ac:dyDescent="0.3"/>
    <row r="39" spans="1:6" ht="15.75" thickBot="1" x14ac:dyDescent="0.3">
      <c r="A39" s="116" t="s">
        <v>39</v>
      </c>
      <c r="B39" s="117"/>
      <c r="C39" s="117"/>
      <c r="D39" s="117"/>
      <c r="E39" s="118"/>
    </row>
    <row r="40" spans="1:6" x14ac:dyDescent="0.25">
      <c r="A40" s="56"/>
      <c r="B40" s="52" t="s">
        <v>34</v>
      </c>
      <c r="C40" s="52" t="s">
        <v>35</v>
      </c>
      <c r="D40" s="52" t="s">
        <v>36</v>
      </c>
      <c r="E40" s="53" t="s">
        <v>37</v>
      </c>
    </row>
    <row r="41" spans="1:6" ht="15.75" thickBot="1" x14ac:dyDescent="0.3">
      <c r="A41" s="22"/>
      <c r="B41" s="67">
        <v>3690</v>
      </c>
      <c r="C41" s="67">
        <f>26430+1580</f>
        <v>28010</v>
      </c>
      <c r="D41" s="67"/>
      <c r="E41" s="68"/>
    </row>
    <row r="42" spans="1:6" x14ac:dyDescent="0.25">
      <c r="A42" s="64"/>
      <c r="B42" s="65"/>
      <c r="C42" s="65"/>
      <c r="D42" s="65"/>
      <c r="E42" s="66"/>
    </row>
    <row r="43" spans="1:6" ht="15.75" thickBot="1" x14ac:dyDescent="0.3">
      <c r="A43" s="64"/>
      <c r="B43" s="65"/>
      <c r="C43" s="65"/>
      <c r="D43" s="65"/>
      <c r="E43" s="66"/>
    </row>
    <row r="44" spans="1:6" ht="15.75" thickBot="1" x14ac:dyDescent="0.3">
      <c r="A44" s="116" t="s">
        <v>33</v>
      </c>
      <c r="B44" s="117"/>
      <c r="C44" s="117"/>
      <c r="D44" s="117"/>
      <c r="E44" s="117"/>
      <c r="F44" s="118"/>
    </row>
    <row r="45" spans="1:6" x14ac:dyDescent="0.25">
      <c r="A45" s="56"/>
      <c r="B45" s="52" t="s">
        <v>34</v>
      </c>
      <c r="C45" s="52" t="s">
        <v>35</v>
      </c>
      <c r="D45" s="52" t="s">
        <v>36</v>
      </c>
      <c r="E45" s="52" t="s">
        <v>37</v>
      </c>
      <c r="F45" s="79" t="s">
        <v>60</v>
      </c>
    </row>
    <row r="46" spans="1:6" ht="15" customHeight="1" x14ac:dyDescent="0.25">
      <c r="A46" s="54" t="s">
        <v>38</v>
      </c>
      <c r="B46" s="57">
        <v>0.11</v>
      </c>
      <c r="C46" s="57">
        <v>0.11</v>
      </c>
      <c r="D46" s="70">
        <v>0.24</v>
      </c>
      <c r="E46" s="57">
        <v>4.5999999999999999E-3</v>
      </c>
      <c r="F46" s="80"/>
    </row>
    <row r="47" spans="1:6" ht="15.75" thickBot="1" x14ac:dyDescent="0.3">
      <c r="A47" s="55" t="s">
        <v>41</v>
      </c>
      <c r="B47" s="58">
        <v>0.17499999999999999</v>
      </c>
      <c r="C47" s="58">
        <v>0.17499999999999999</v>
      </c>
      <c r="D47" s="71">
        <v>0.29299999999999998</v>
      </c>
      <c r="E47" s="58">
        <v>3.4099999999999998E-2</v>
      </c>
      <c r="F47" s="81"/>
    </row>
  </sheetData>
  <mergeCells count="21">
    <mergeCell ref="J20:L20"/>
    <mergeCell ref="J17:L17"/>
    <mergeCell ref="J14:L14"/>
    <mergeCell ref="A1:AF1"/>
    <mergeCell ref="A2:A3"/>
    <mergeCell ref="J15:L15"/>
    <mergeCell ref="J16:L16"/>
    <mergeCell ref="J18:L18"/>
    <mergeCell ref="J19:L19"/>
    <mergeCell ref="R17:S23"/>
    <mergeCell ref="R16:S16"/>
    <mergeCell ref="U16:X16"/>
    <mergeCell ref="V17:X17"/>
    <mergeCell ref="V18:X18"/>
    <mergeCell ref="A44:F44"/>
    <mergeCell ref="A39:E39"/>
    <mergeCell ref="A24:B24"/>
    <mergeCell ref="A32:C32"/>
    <mergeCell ref="B35:B36"/>
    <mergeCell ref="C35:C36"/>
    <mergeCell ref="D35:D36"/>
  </mergeCells>
  <phoneticPr fontId="4" type="noConversion"/>
  <conditionalFormatting sqref="A12:XFD12">
    <cfRule type="cellIs" dxfId="1" priority="1" operator="equal">
      <formula>$I$12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C30B1-47A1-4355-B770-E78E7C1BB711}">
  <dimension ref="A1:AF53"/>
  <sheetViews>
    <sheetView tabSelected="1" zoomScale="130" zoomScaleNormal="130" workbookViewId="0">
      <pane xSplit="1" topLeftCell="B1" activePane="topRight" state="frozen"/>
      <selection pane="topRight" activeCell="G14" sqref="G14"/>
    </sheetView>
  </sheetViews>
  <sheetFormatPr defaultRowHeight="15" x14ac:dyDescent="0.25"/>
  <cols>
    <col min="1" max="1" width="24.7109375" customWidth="1"/>
    <col min="2" max="2" width="11.140625" customWidth="1"/>
    <col min="3" max="3" width="11.5703125" customWidth="1"/>
  </cols>
  <sheetData>
    <row r="1" spans="1:32" x14ac:dyDescent="0.25">
      <c r="A1" s="140" t="s">
        <v>63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</row>
    <row r="2" spans="1:32" x14ac:dyDescent="0.25">
      <c r="A2" s="142" t="s">
        <v>14</v>
      </c>
      <c r="B2" s="89">
        <v>1</v>
      </c>
      <c r="C2" s="89">
        <v>2</v>
      </c>
      <c r="D2" s="89">
        <v>3</v>
      </c>
      <c r="E2" s="89">
        <v>4</v>
      </c>
      <c r="F2" s="89">
        <v>5</v>
      </c>
      <c r="G2" s="89">
        <v>6</v>
      </c>
      <c r="H2" s="89">
        <v>7</v>
      </c>
      <c r="I2" s="89">
        <v>8</v>
      </c>
      <c r="J2" s="89">
        <v>9</v>
      </c>
      <c r="K2" s="89">
        <v>10</v>
      </c>
      <c r="L2" s="89">
        <v>11</v>
      </c>
      <c r="M2" s="89">
        <v>12</v>
      </c>
      <c r="N2" s="89">
        <v>13</v>
      </c>
      <c r="O2" s="89">
        <v>14</v>
      </c>
      <c r="P2" s="90">
        <v>15</v>
      </c>
      <c r="Q2" s="90">
        <v>16</v>
      </c>
      <c r="R2" s="90">
        <v>17</v>
      </c>
      <c r="S2" s="90">
        <v>18</v>
      </c>
      <c r="T2" s="90">
        <v>19</v>
      </c>
      <c r="U2" s="90">
        <v>20</v>
      </c>
      <c r="V2" s="90">
        <v>21</v>
      </c>
      <c r="W2" s="90">
        <v>22</v>
      </c>
      <c r="X2" s="90">
        <v>23</v>
      </c>
      <c r="Y2" s="90">
        <v>24</v>
      </c>
      <c r="Z2" s="90">
        <v>25</v>
      </c>
      <c r="AA2" s="90">
        <v>26</v>
      </c>
      <c r="AB2" s="90">
        <v>27</v>
      </c>
      <c r="AC2" s="90">
        <v>28</v>
      </c>
      <c r="AD2" s="90">
        <v>29</v>
      </c>
      <c r="AE2" s="90">
        <v>30</v>
      </c>
      <c r="AF2" s="90">
        <v>31</v>
      </c>
    </row>
    <row r="3" spans="1:32" x14ac:dyDescent="0.25">
      <c r="A3" s="143"/>
      <c r="B3" s="89" t="s">
        <v>20</v>
      </c>
      <c r="C3" s="89" t="s">
        <v>21</v>
      </c>
      <c r="D3" s="89" t="s">
        <v>22</v>
      </c>
      <c r="E3" s="89" t="s">
        <v>16</v>
      </c>
      <c r="F3" s="89" t="s">
        <v>17</v>
      </c>
      <c r="G3" s="89" t="s">
        <v>18</v>
      </c>
      <c r="H3" s="89" t="s">
        <v>19</v>
      </c>
      <c r="I3" s="89" t="s">
        <v>20</v>
      </c>
      <c r="J3" s="89" t="s">
        <v>21</v>
      </c>
      <c r="K3" s="89" t="s">
        <v>22</v>
      </c>
      <c r="L3" s="89" t="s">
        <v>16</v>
      </c>
      <c r="M3" s="89" t="s">
        <v>17</v>
      </c>
      <c r="N3" s="89" t="s">
        <v>18</v>
      </c>
      <c r="O3" s="89" t="s">
        <v>19</v>
      </c>
      <c r="P3" s="89" t="s">
        <v>20</v>
      </c>
      <c r="Q3" s="89" t="s">
        <v>21</v>
      </c>
      <c r="R3" s="89" t="s">
        <v>22</v>
      </c>
      <c r="S3" s="89" t="s">
        <v>16</v>
      </c>
      <c r="T3" s="89" t="s">
        <v>17</v>
      </c>
      <c r="U3" s="89" t="s">
        <v>18</v>
      </c>
      <c r="V3" s="89" t="s">
        <v>19</v>
      </c>
      <c r="W3" s="89" t="s">
        <v>20</v>
      </c>
      <c r="X3" s="89" t="s">
        <v>21</v>
      </c>
      <c r="Y3" s="89" t="s">
        <v>22</v>
      </c>
      <c r="Z3" s="89" t="s">
        <v>16</v>
      </c>
      <c r="AA3" s="89" t="s">
        <v>17</v>
      </c>
      <c r="AB3" s="89" t="s">
        <v>18</v>
      </c>
      <c r="AC3" s="89" t="s">
        <v>19</v>
      </c>
      <c r="AD3" s="89" t="s">
        <v>20</v>
      </c>
      <c r="AE3" s="89" t="s">
        <v>21</v>
      </c>
      <c r="AF3" s="89" t="s">
        <v>22</v>
      </c>
    </row>
    <row r="4" spans="1:32" x14ac:dyDescent="0.25">
      <c r="A4" s="38" t="s">
        <v>31</v>
      </c>
      <c r="B4" s="36">
        <v>6490</v>
      </c>
      <c r="C4" s="36">
        <v>870</v>
      </c>
      <c r="D4" s="36">
        <v>1780</v>
      </c>
      <c r="E4" s="36"/>
      <c r="F4" s="36">
        <v>13910</v>
      </c>
      <c r="G4" s="36">
        <v>2540</v>
      </c>
      <c r="H4" s="36">
        <v>9430</v>
      </c>
      <c r="I4" s="36">
        <v>4560</v>
      </c>
      <c r="J4" s="36">
        <v>6900</v>
      </c>
      <c r="K4" s="36">
        <v>290</v>
      </c>
      <c r="L4" s="46"/>
      <c r="M4" s="88" t="s">
        <v>23</v>
      </c>
      <c r="N4" s="1">
        <v>16990</v>
      </c>
      <c r="O4" s="36">
        <v>4530</v>
      </c>
      <c r="P4" s="36">
        <v>3920</v>
      </c>
      <c r="Q4" s="36"/>
      <c r="R4" s="46"/>
      <c r="S4" s="46"/>
      <c r="T4" s="46"/>
      <c r="U4" s="36"/>
      <c r="V4" s="46"/>
      <c r="W4" s="46"/>
      <c r="X4" s="36"/>
      <c r="Y4" s="36"/>
      <c r="Z4" s="36"/>
      <c r="AA4" s="36"/>
      <c r="AB4" s="36"/>
      <c r="AC4" s="36"/>
      <c r="AD4" s="36"/>
      <c r="AE4" s="36"/>
      <c r="AF4" s="36"/>
    </row>
    <row r="5" spans="1:32" x14ac:dyDescent="0.25">
      <c r="A5" s="39" t="s">
        <v>0</v>
      </c>
      <c r="B5" s="36">
        <v>159990</v>
      </c>
      <c r="C5" s="8">
        <v>139910</v>
      </c>
      <c r="D5" s="36">
        <v>111310</v>
      </c>
      <c r="E5" s="36"/>
      <c r="F5" s="36">
        <v>154730</v>
      </c>
      <c r="G5" s="36">
        <v>111710</v>
      </c>
      <c r="H5" s="36">
        <v>171350</v>
      </c>
      <c r="I5" s="36">
        <v>195630</v>
      </c>
      <c r="J5" s="36">
        <v>197840</v>
      </c>
      <c r="K5" s="36">
        <v>110520</v>
      </c>
      <c r="L5" s="36"/>
      <c r="M5" s="88" t="s">
        <v>23</v>
      </c>
      <c r="N5" s="8">
        <v>236030</v>
      </c>
      <c r="O5" s="36">
        <v>168120</v>
      </c>
      <c r="P5" s="36">
        <v>111520</v>
      </c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</row>
    <row r="6" spans="1:32" x14ac:dyDescent="0.25">
      <c r="A6" s="7" t="s">
        <v>1</v>
      </c>
      <c r="B6" s="36">
        <v>5580</v>
      </c>
      <c r="C6" s="8">
        <v>6650</v>
      </c>
      <c r="D6" s="36">
        <v>5780</v>
      </c>
      <c r="E6" s="36"/>
      <c r="F6" s="36">
        <v>6310</v>
      </c>
      <c r="G6" s="36">
        <v>5280</v>
      </c>
      <c r="H6" s="36">
        <v>6290</v>
      </c>
      <c r="I6" s="36">
        <v>5460</v>
      </c>
      <c r="J6" s="36">
        <v>9820</v>
      </c>
      <c r="K6" s="36">
        <v>2570</v>
      </c>
      <c r="L6" s="36"/>
      <c r="M6" s="88" t="s">
        <v>23</v>
      </c>
      <c r="N6" s="8">
        <v>8580</v>
      </c>
      <c r="O6" s="36">
        <v>6350</v>
      </c>
      <c r="P6" s="86">
        <v>4550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</row>
    <row r="7" spans="1:32" x14ac:dyDescent="0.25">
      <c r="A7" s="15" t="s">
        <v>62</v>
      </c>
      <c r="B7" s="36">
        <v>90850</v>
      </c>
      <c r="C7" s="8">
        <v>95430</v>
      </c>
      <c r="D7" s="36">
        <v>111310</v>
      </c>
      <c r="E7" s="36">
        <v>6360</v>
      </c>
      <c r="F7" s="36">
        <v>86820</v>
      </c>
      <c r="G7" s="36">
        <v>142920</v>
      </c>
      <c r="H7" s="36">
        <v>94950</v>
      </c>
      <c r="I7" s="36">
        <v>94950</v>
      </c>
      <c r="J7" s="36">
        <v>95190</v>
      </c>
      <c r="K7" s="36">
        <v>108510</v>
      </c>
      <c r="L7" s="36">
        <v>14450</v>
      </c>
      <c r="M7" s="8">
        <v>77440</v>
      </c>
      <c r="N7" s="8">
        <v>104180</v>
      </c>
      <c r="O7" s="36">
        <v>99020</v>
      </c>
      <c r="P7" s="86">
        <v>42550</v>
      </c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</row>
    <row r="8" spans="1:32" x14ac:dyDescent="0.25">
      <c r="A8" s="48" t="s">
        <v>40</v>
      </c>
      <c r="B8" s="36">
        <f>(B7*(1-$B$48))+B6</f>
        <v>92568.875</v>
      </c>
      <c r="C8" s="36">
        <f t="shared" ref="C8:D8" si="0">(C7*(1-$B$48))+C6</f>
        <v>98024.225000000006</v>
      </c>
      <c r="D8" s="36">
        <f t="shared" si="0"/>
        <v>112359.325</v>
      </c>
      <c r="E8" s="36"/>
      <c r="F8" s="36">
        <f t="shared" ref="F8" si="1">(F7*(1-$B$48))+F6</f>
        <v>89440.150000000009</v>
      </c>
      <c r="G8" s="36">
        <f t="shared" ref="G8" si="2">(G7*(1-$B$48))+G6</f>
        <v>142125.9</v>
      </c>
      <c r="H8" s="36">
        <f t="shared" ref="H8" si="3">(H7*(1-$B$48))+H6</f>
        <v>97204.625</v>
      </c>
      <c r="I8" s="36">
        <f t="shared" ref="I8" si="4">(I7*(1-$B$48))+I6</f>
        <v>96374.625</v>
      </c>
      <c r="J8" s="36">
        <f t="shared" ref="J8" si="5">(J7*(1-$B$48))+J6</f>
        <v>100964.425</v>
      </c>
      <c r="K8" s="36">
        <f t="shared" ref="K8" si="6">(K7*(1-$B$48))+K6</f>
        <v>106468.325</v>
      </c>
      <c r="L8" s="36"/>
      <c r="M8" s="8">
        <v>77440</v>
      </c>
      <c r="N8" s="36">
        <f t="shared" ref="N8" si="7">(N7*(1-$B$48))+N6</f>
        <v>108332.35</v>
      </c>
      <c r="O8" s="36">
        <f t="shared" ref="O8" si="8">(O7*(1-$B$48))+O6</f>
        <v>101161.65000000001</v>
      </c>
      <c r="P8" s="36">
        <f t="shared" ref="P8" si="9">(P7*(1-$B$48))+P6</f>
        <v>45291.625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</row>
    <row r="9" spans="1:32" x14ac:dyDescent="0.25">
      <c r="A9" s="48" t="s">
        <v>2</v>
      </c>
      <c r="B9" s="47">
        <v>410</v>
      </c>
      <c r="C9" s="8">
        <v>590</v>
      </c>
      <c r="D9" s="47">
        <v>1100</v>
      </c>
      <c r="E9" s="47"/>
      <c r="F9" s="47">
        <v>1080</v>
      </c>
      <c r="G9" s="47">
        <v>880</v>
      </c>
      <c r="H9" s="47">
        <v>940</v>
      </c>
      <c r="I9" s="47">
        <v>980</v>
      </c>
      <c r="J9" s="36">
        <v>1330</v>
      </c>
      <c r="K9" s="47">
        <v>1140</v>
      </c>
      <c r="L9" s="47"/>
      <c r="M9" s="8">
        <v>1170</v>
      </c>
      <c r="N9" s="8">
        <v>990</v>
      </c>
      <c r="O9" s="36">
        <v>0</v>
      </c>
      <c r="P9" s="86">
        <v>1070</v>
      </c>
      <c r="Q9" s="36"/>
      <c r="R9" s="36"/>
      <c r="S9" s="36"/>
      <c r="T9" s="36"/>
      <c r="U9" s="2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</row>
    <row r="10" spans="1:32" x14ac:dyDescent="0.25">
      <c r="A10" s="84" t="s">
        <v>42</v>
      </c>
      <c r="B10" s="47">
        <v>40210</v>
      </c>
      <c r="C10" s="8">
        <v>42100</v>
      </c>
      <c r="D10" s="47"/>
      <c r="E10" s="47"/>
      <c r="F10" s="47">
        <v>42660</v>
      </c>
      <c r="G10" s="47">
        <v>48070</v>
      </c>
      <c r="H10" s="40">
        <v>39990</v>
      </c>
      <c r="I10" s="47">
        <v>45970</v>
      </c>
      <c r="J10" s="47">
        <v>43970</v>
      </c>
      <c r="K10" s="36"/>
      <c r="L10" s="47"/>
      <c r="M10" s="88" t="s">
        <v>23</v>
      </c>
      <c r="N10" s="8">
        <v>39300</v>
      </c>
      <c r="O10" s="36">
        <v>40330</v>
      </c>
      <c r="P10" s="36">
        <v>40300</v>
      </c>
      <c r="Q10" s="36"/>
      <c r="R10" s="36"/>
      <c r="S10" s="36"/>
      <c r="T10" s="36"/>
      <c r="U10" s="2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</row>
    <row r="11" spans="1:32" x14ac:dyDescent="0.25">
      <c r="A11" s="48" t="s">
        <v>43</v>
      </c>
      <c r="B11" s="47">
        <f>B10*(1-$B$48)</f>
        <v>38501.074999999997</v>
      </c>
      <c r="C11" s="47">
        <f t="shared" ref="C11" si="10">C10*(1-$B$48)</f>
        <v>40310.75</v>
      </c>
      <c r="D11" s="47">
        <v>36570</v>
      </c>
      <c r="E11" s="47"/>
      <c r="F11" s="47">
        <f t="shared" ref="F11" si="11">F10*(1-$B$48)</f>
        <v>40846.950000000004</v>
      </c>
      <c r="G11" s="47">
        <f t="shared" ref="G11" si="12">G10*(1-$B$48)</f>
        <v>46027.025000000001</v>
      </c>
      <c r="H11" s="47">
        <f t="shared" ref="H11" si="13">H10*(1-$B$48)</f>
        <v>38290.425000000003</v>
      </c>
      <c r="I11" s="47">
        <f t="shared" ref="I11" si="14">I10*(1-$B$48)</f>
        <v>44016.275000000001</v>
      </c>
      <c r="J11" s="47">
        <f t="shared" ref="J11" si="15">J10*(1-$B$48)</f>
        <v>42101.275000000001</v>
      </c>
      <c r="K11" s="36">
        <v>36860</v>
      </c>
      <c r="L11" s="47"/>
      <c r="M11" s="88" t="s">
        <v>23</v>
      </c>
      <c r="N11" s="47">
        <f t="shared" ref="N11" si="16">N10*(1-$B$48)</f>
        <v>37629.75</v>
      </c>
      <c r="O11" s="47">
        <f t="shared" ref="O11" si="17">O10*(1-$B$48)</f>
        <v>38615.974999999999</v>
      </c>
      <c r="P11" s="47">
        <f t="shared" ref="P11" si="18">P10*(1-$B$48)</f>
        <v>38587.25</v>
      </c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36"/>
    </row>
    <row r="12" spans="1:32" x14ac:dyDescent="0.25">
      <c r="A12" s="7" t="s">
        <v>3</v>
      </c>
      <c r="B12" s="36">
        <v>403200</v>
      </c>
      <c r="C12" s="8">
        <v>403200</v>
      </c>
      <c r="D12" s="36"/>
      <c r="E12" s="36"/>
      <c r="F12" s="30"/>
      <c r="G12" s="36">
        <v>100800</v>
      </c>
      <c r="H12" s="87">
        <v>0</v>
      </c>
      <c r="I12" s="36">
        <v>126000</v>
      </c>
      <c r="J12" s="36">
        <v>12600</v>
      </c>
      <c r="K12" s="36"/>
      <c r="L12" s="36"/>
      <c r="M12" s="88" t="s">
        <v>23</v>
      </c>
      <c r="N12" s="8">
        <f>50400*7</f>
        <v>352800</v>
      </c>
      <c r="O12" s="8">
        <f>50400*6</f>
        <v>302400</v>
      </c>
      <c r="P12" s="8">
        <f>50400*6</f>
        <v>302400</v>
      </c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</row>
    <row r="13" spans="1:32" x14ac:dyDescent="0.25">
      <c r="A13" s="94" t="s">
        <v>4</v>
      </c>
      <c r="B13" s="36">
        <v>20000</v>
      </c>
      <c r="C13" s="8" t="s">
        <v>51</v>
      </c>
      <c r="D13" s="36"/>
      <c r="E13" s="36"/>
      <c r="F13" s="36" t="s">
        <v>51</v>
      </c>
      <c r="G13" s="36" t="s">
        <v>51</v>
      </c>
      <c r="H13" s="36">
        <v>10000</v>
      </c>
      <c r="I13" s="36"/>
      <c r="J13" s="36"/>
      <c r="K13" s="36"/>
      <c r="L13" s="36"/>
      <c r="M13" s="88" t="s">
        <v>23</v>
      </c>
      <c r="N13" s="8" t="s">
        <v>51</v>
      </c>
      <c r="O13" s="36" t="s">
        <v>51</v>
      </c>
      <c r="P13" s="36" t="s">
        <v>51</v>
      </c>
      <c r="Q13" s="36" t="s">
        <v>51</v>
      </c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</row>
    <row r="14" spans="1:32" ht="15.75" thickBot="1" x14ac:dyDescent="0.3">
      <c r="A14" s="59"/>
      <c r="B14" s="60"/>
      <c r="C14" s="61"/>
      <c r="D14" s="62"/>
      <c r="F14" s="62"/>
      <c r="G14" s="100"/>
      <c r="I14" s="62"/>
      <c r="J14" s="61"/>
      <c r="K14" s="61"/>
      <c r="L14" s="61"/>
      <c r="M14" s="61"/>
      <c r="N14" s="61"/>
      <c r="O14" s="72"/>
      <c r="P14" s="72"/>
      <c r="Q14" s="72"/>
      <c r="R14" s="62"/>
      <c r="T14" s="62"/>
      <c r="U14" s="62"/>
      <c r="V14" s="62"/>
      <c r="X14" s="61"/>
      <c r="Y14" s="62"/>
      <c r="Z14" s="62"/>
      <c r="AA14" s="62"/>
      <c r="AB14" s="62"/>
      <c r="AC14" s="62"/>
      <c r="AD14" s="62"/>
      <c r="AE14" s="61"/>
    </row>
    <row r="15" spans="1:32" x14ac:dyDescent="0.25">
      <c r="A15" s="17"/>
      <c r="B15" s="18" t="s">
        <v>9</v>
      </c>
    </row>
    <row r="16" spans="1:32" x14ac:dyDescent="0.25">
      <c r="A16" s="38" t="s">
        <v>31</v>
      </c>
      <c r="B16" s="12">
        <f t="shared" ref="B16:B21" si="19">SUM(B4:AF4)</f>
        <v>72210</v>
      </c>
    </row>
    <row r="17" spans="1:28" ht="15.75" thickBot="1" x14ac:dyDescent="0.3">
      <c r="A17" s="38" t="s">
        <v>0</v>
      </c>
      <c r="B17" s="12">
        <f t="shared" si="19"/>
        <v>1868660</v>
      </c>
    </row>
    <row r="18" spans="1:28" ht="15.75" thickBot="1" x14ac:dyDescent="0.3">
      <c r="A18" s="38" t="s">
        <v>1</v>
      </c>
      <c r="B18" s="12">
        <f t="shared" si="19"/>
        <v>73220</v>
      </c>
      <c r="F18" s="121" t="s">
        <v>44</v>
      </c>
      <c r="G18" s="122"/>
      <c r="H18" s="123"/>
      <c r="K18" s="131" t="s">
        <v>40</v>
      </c>
      <c r="L18" s="131"/>
      <c r="O18" s="132" t="s">
        <v>55</v>
      </c>
      <c r="P18" s="132"/>
      <c r="Q18" s="132"/>
      <c r="R18" s="132"/>
    </row>
    <row r="19" spans="1:28" ht="15" customHeight="1" x14ac:dyDescent="0.25">
      <c r="A19" s="15" t="s">
        <v>62</v>
      </c>
      <c r="B19" s="12">
        <f t="shared" si="19"/>
        <v>1264930</v>
      </c>
      <c r="F19" s="144" t="s">
        <v>45</v>
      </c>
      <c r="G19" s="145"/>
      <c r="H19" s="146"/>
      <c r="K19" s="130" t="s">
        <v>65</v>
      </c>
      <c r="L19" s="130"/>
      <c r="O19" s="133" t="s">
        <v>59</v>
      </c>
      <c r="P19" s="133"/>
      <c r="Q19" s="133"/>
      <c r="R19" s="1" t="s">
        <v>58</v>
      </c>
    </row>
    <row r="20" spans="1:28" x14ac:dyDescent="0.25">
      <c r="A20" s="7" t="s">
        <v>40</v>
      </c>
      <c r="B20" s="12">
        <f t="shared" si="19"/>
        <v>1267756.0999999999</v>
      </c>
      <c r="F20" s="137" t="s">
        <v>46</v>
      </c>
      <c r="G20" s="138"/>
      <c r="H20" s="139"/>
      <c r="K20" s="130"/>
      <c r="L20" s="130"/>
      <c r="O20" s="133" t="s">
        <v>57</v>
      </c>
      <c r="P20" s="133"/>
      <c r="Q20" s="133"/>
      <c r="R20" s="1" t="s">
        <v>56</v>
      </c>
    </row>
    <row r="21" spans="1:28" x14ac:dyDescent="0.25">
      <c r="A21" s="15" t="s">
        <v>2</v>
      </c>
      <c r="B21" s="12">
        <f t="shared" si="19"/>
        <v>11680</v>
      </c>
      <c r="F21" s="134" t="s">
        <v>48</v>
      </c>
      <c r="G21" s="135"/>
      <c r="H21" s="136"/>
      <c r="K21" s="130"/>
      <c r="L21" s="130"/>
      <c r="AB21" s="85"/>
    </row>
    <row r="22" spans="1:28" x14ac:dyDescent="0.25">
      <c r="A22" s="15" t="s">
        <v>3</v>
      </c>
      <c r="B22" s="12">
        <f t="shared" ref="B22:B23" si="20">SUM(B12:AF12)</f>
        <v>2003400</v>
      </c>
      <c r="F22" s="137" t="s">
        <v>47</v>
      </c>
      <c r="G22" s="138"/>
      <c r="H22" s="139"/>
      <c r="K22" s="130"/>
      <c r="L22" s="130"/>
    </row>
    <row r="23" spans="1:28" ht="15.75" thickBot="1" x14ac:dyDescent="0.3">
      <c r="A23" s="4" t="s">
        <v>4</v>
      </c>
      <c r="B23" s="16">
        <f t="shared" si="20"/>
        <v>30000</v>
      </c>
      <c r="F23" s="134" t="s">
        <v>49</v>
      </c>
      <c r="G23" s="135"/>
      <c r="H23" s="136"/>
      <c r="K23" s="130"/>
      <c r="L23" s="130"/>
    </row>
    <row r="24" spans="1:28" x14ac:dyDescent="0.25">
      <c r="F24" s="137" t="s">
        <v>50</v>
      </c>
      <c r="G24" s="138"/>
      <c r="H24" s="139"/>
      <c r="K24" s="130"/>
      <c r="L24" s="130"/>
    </row>
    <row r="25" spans="1:28" ht="15.75" thickBot="1" x14ac:dyDescent="0.3">
      <c r="K25" s="130"/>
      <c r="L25" s="130"/>
    </row>
    <row r="26" spans="1:28" ht="15.75" thickBot="1" x14ac:dyDescent="0.3">
      <c r="A26" s="111" t="s">
        <v>24</v>
      </c>
      <c r="B26" s="112"/>
      <c r="C26" s="29" t="s">
        <v>28</v>
      </c>
    </row>
    <row r="27" spans="1:28" x14ac:dyDescent="0.25">
      <c r="A27" s="2" t="s">
        <v>5</v>
      </c>
      <c r="B27" s="11">
        <v>100800</v>
      </c>
      <c r="C27" s="11">
        <f>B27/B29</f>
        <v>8</v>
      </c>
    </row>
    <row r="28" spans="1:28" x14ac:dyDescent="0.25">
      <c r="A28" s="3" t="s">
        <v>6</v>
      </c>
      <c r="B28" s="12">
        <v>50400</v>
      </c>
      <c r="C28" s="12">
        <f>B28/B29</f>
        <v>4</v>
      </c>
    </row>
    <row r="29" spans="1:28" x14ac:dyDescent="0.25">
      <c r="A29" s="3" t="s">
        <v>7</v>
      </c>
      <c r="B29" s="12">
        <v>12600</v>
      </c>
      <c r="C29" s="12">
        <v>1</v>
      </c>
    </row>
    <row r="30" spans="1:28" ht="15.75" thickBot="1" x14ac:dyDescent="0.3">
      <c r="A30" s="4" t="s">
        <v>4</v>
      </c>
      <c r="B30" s="13">
        <v>10000</v>
      </c>
      <c r="C30" s="13">
        <v>1</v>
      </c>
    </row>
    <row r="31" spans="1:28" ht="15.75" thickBot="1" x14ac:dyDescent="0.3">
      <c r="A31" s="31" t="s">
        <v>4</v>
      </c>
      <c r="B31" s="32">
        <v>6000</v>
      </c>
      <c r="C31" s="13">
        <v>1</v>
      </c>
    </row>
    <row r="33" spans="1:6" ht="15.75" thickBot="1" x14ac:dyDescent="0.3"/>
    <row r="34" spans="1:6" ht="15.75" thickBot="1" x14ac:dyDescent="0.3">
      <c r="A34" s="113" t="s">
        <v>10</v>
      </c>
      <c r="B34" s="114"/>
      <c r="C34" s="115"/>
      <c r="D34" s="29" t="s">
        <v>30</v>
      </c>
    </row>
    <row r="35" spans="1:6" x14ac:dyDescent="0.25">
      <c r="A35" s="21" t="s">
        <v>11</v>
      </c>
      <c r="B35" s="19" t="s">
        <v>12</v>
      </c>
      <c r="C35" s="20">
        <v>7.2050000000000001</v>
      </c>
      <c r="D35" s="34"/>
    </row>
    <row r="36" spans="1:6" ht="15.75" thickBot="1" x14ac:dyDescent="0.3">
      <c r="A36" s="22"/>
      <c r="B36" s="27" t="s">
        <v>13</v>
      </c>
      <c r="C36" s="28">
        <v>6.46</v>
      </c>
      <c r="D36" s="35"/>
    </row>
    <row r="37" spans="1:6" x14ac:dyDescent="0.25">
      <c r="A37" s="21" t="s">
        <v>25</v>
      </c>
      <c r="B37" s="105" t="s">
        <v>26</v>
      </c>
      <c r="C37" s="107">
        <v>1.03</v>
      </c>
      <c r="D37" s="109">
        <v>4.12</v>
      </c>
    </row>
    <row r="38" spans="1:6" ht="15.75" thickBot="1" x14ac:dyDescent="0.3">
      <c r="A38" s="22" t="s">
        <v>27</v>
      </c>
      <c r="B38" s="106"/>
      <c r="C38" s="108"/>
      <c r="D38" s="110"/>
    </row>
    <row r="40" spans="1:6" ht="15.75" thickBot="1" x14ac:dyDescent="0.3"/>
    <row r="41" spans="1:6" ht="15.75" thickBot="1" x14ac:dyDescent="0.3">
      <c r="A41" s="116" t="s">
        <v>39</v>
      </c>
      <c r="B41" s="117"/>
      <c r="C41" s="117"/>
      <c r="D41" s="117"/>
      <c r="E41" s="118"/>
    </row>
    <row r="42" spans="1:6" x14ac:dyDescent="0.25">
      <c r="A42" s="56"/>
      <c r="B42" s="52" t="s">
        <v>34</v>
      </c>
      <c r="C42" s="52" t="s">
        <v>35</v>
      </c>
      <c r="D42" s="52" t="s">
        <v>36</v>
      </c>
      <c r="E42" s="53" t="s">
        <v>37</v>
      </c>
    </row>
    <row r="43" spans="1:6" ht="15.75" thickBot="1" x14ac:dyDescent="0.3">
      <c r="A43" s="22"/>
      <c r="B43" s="67">
        <v>3690</v>
      </c>
      <c r="C43" s="67">
        <f>26430+1580</f>
        <v>28010</v>
      </c>
      <c r="D43" s="67"/>
      <c r="E43" s="68"/>
    </row>
    <row r="44" spans="1:6" x14ac:dyDescent="0.25">
      <c r="A44" s="64"/>
      <c r="B44" s="65"/>
      <c r="C44" s="65"/>
      <c r="D44" s="65"/>
      <c r="E44" s="65"/>
      <c r="F44" s="99"/>
    </row>
    <row r="45" spans="1:6" ht="15.75" thickBot="1" x14ac:dyDescent="0.3">
      <c r="A45" s="64"/>
      <c r="B45" s="65"/>
      <c r="C45" s="65"/>
      <c r="D45" s="65"/>
      <c r="E45" s="65"/>
      <c r="F45" s="99"/>
    </row>
    <row r="46" spans="1:6" ht="15.75" thickBot="1" x14ac:dyDescent="0.3">
      <c r="A46" s="147" t="s">
        <v>33</v>
      </c>
      <c r="B46" s="148"/>
      <c r="C46" s="148"/>
      <c r="D46" s="148"/>
      <c r="E46" s="148"/>
      <c r="F46" s="149"/>
    </row>
    <row r="47" spans="1:6" x14ac:dyDescent="0.25">
      <c r="A47" s="56"/>
      <c r="B47" s="52" t="s">
        <v>34</v>
      </c>
      <c r="C47" s="52" t="s">
        <v>35</v>
      </c>
      <c r="D47" s="52" t="s">
        <v>36</v>
      </c>
      <c r="E47" s="52" t="s">
        <v>37</v>
      </c>
      <c r="F47" s="79" t="s">
        <v>60</v>
      </c>
    </row>
    <row r="48" spans="1:6" ht="15" customHeight="1" x14ac:dyDescent="0.25">
      <c r="A48" s="54" t="s">
        <v>38</v>
      </c>
      <c r="B48" s="97">
        <v>4.2500000000000003E-2</v>
      </c>
      <c r="C48" s="97"/>
      <c r="D48" s="95"/>
      <c r="E48" s="95"/>
      <c r="F48" s="80"/>
    </row>
    <row r="49" spans="1:6" ht="15.75" thickBot="1" x14ac:dyDescent="0.3">
      <c r="A49" s="91" t="s">
        <v>41</v>
      </c>
      <c r="B49" s="98">
        <v>5.7700000000000001E-2</v>
      </c>
      <c r="C49" s="98"/>
      <c r="D49" s="96"/>
      <c r="E49" s="96"/>
      <c r="F49" s="81"/>
    </row>
    <row r="50" spans="1:6" ht="15.75" thickBot="1" x14ac:dyDescent="0.3"/>
    <row r="51" spans="1:6" ht="15.75" thickBot="1" x14ac:dyDescent="0.3">
      <c r="A51" s="116" t="s">
        <v>64</v>
      </c>
      <c r="B51" s="117"/>
      <c r="C51" s="117"/>
      <c r="D51" s="117"/>
      <c r="E51" s="118"/>
    </row>
    <row r="52" spans="1:6" x14ac:dyDescent="0.25">
      <c r="A52" s="56"/>
      <c r="B52" s="52" t="s">
        <v>34</v>
      </c>
      <c r="C52" s="52" t="s">
        <v>35</v>
      </c>
      <c r="D52" s="52" t="s">
        <v>36</v>
      </c>
      <c r="E52" s="53" t="s">
        <v>37</v>
      </c>
    </row>
    <row r="53" spans="1:6" ht="15.75" thickBot="1" x14ac:dyDescent="0.3">
      <c r="A53" s="22"/>
      <c r="B53" s="92">
        <v>6.74</v>
      </c>
      <c r="C53" s="92">
        <v>6.74</v>
      </c>
      <c r="D53" s="92">
        <v>6.84</v>
      </c>
      <c r="E53" s="93"/>
    </row>
  </sheetData>
  <mergeCells count="22">
    <mergeCell ref="D37:D38"/>
    <mergeCell ref="A41:E41"/>
    <mergeCell ref="K19:L25"/>
    <mergeCell ref="F20:H20"/>
    <mergeCell ref="F21:H21"/>
    <mergeCell ref="F22:H22"/>
    <mergeCell ref="A51:E51"/>
    <mergeCell ref="F23:H23"/>
    <mergeCell ref="F24:H24"/>
    <mergeCell ref="A1:AF1"/>
    <mergeCell ref="A2:A3"/>
    <mergeCell ref="F18:H18"/>
    <mergeCell ref="F19:H19"/>
    <mergeCell ref="K18:L18"/>
    <mergeCell ref="O18:R18"/>
    <mergeCell ref="O19:Q19"/>
    <mergeCell ref="O20:Q20"/>
    <mergeCell ref="A46:F46"/>
    <mergeCell ref="A26:B26"/>
    <mergeCell ref="A34:C34"/>
    <mergeCell ref="B37:B38"/>
    <mergeCell ref="C37:C38"/>
  </mergeCells>
  <phoneticPr fontId="4" type="noConversion"/>
  <conditionalFormatting sqref="A13:XFD13">
    <cfRule type="cellIs" dxfId="0" priority="1" operator="equal">
      <formula>$C$13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AGOSTO</vt:lpstr>
      <vt:lpstr>SETEMBRO</vt:lpstr>
      <vt:lpstr>OUTUBRO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Martins Pires</dc:creator>
  <cp:lastModifiedBy>Murilo Martins Pires</cp:lastModifiedBy>
  <dcterms:created xsi:type="dcterms:W3CDTF">2026-08-14T13:22:24Z</dcterms:created>
  <dcterms:modified xsi:type="dcterms:W3CDTF">2026-10-19T19:44:05Z</dcterms:modified>
</cp:coreProperties>
</file>